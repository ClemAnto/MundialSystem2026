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one" sheetId="1" state="visible" r:id="rId1"/>
    <sheet xmlns:r="http://schemas.openxmlformats.org/officeDocument/2006/relationships" name="Gironi" sheetId="2" state="visible" r:id="rId2"/>
    <sheet xmlns:r="http://schemas.openxmlformats.org/officeDocument/2006/relationships" name="Scommesse" sheetId="3" state="hidden" r:id="rId3"/>
    <sheet xmlns:r="http://schemas.openxmlformats.org/officeDocument/2006/relationships" name="Classifiche" sheetId="4" state="hidden" r:id="rId4"/>
    <sheet xmlns:r="http://schemas.openxmlformats.org/officeDocument/2006/relationships" name="Calcoli" sheetId="5" state="hidden" r:id="rId5"/>
    <sheet xmlns:r="http://schemas.openxmlformats.org/officeDocument/2006/relationships" name="Riepilogo" sheetId="6" state="hidden" r:id="rId6"/>
    <sheet xmlns:r="http://schemas.openxmlformats.org/officeDocument/2006/relationships" name="Config" sheetId="7" state="hidden" r:id="rId7"/>
    <sheet xmlns:r="http://schemas.openxmlformats.org/officeDocument/2006/relationships" name="Istruzioni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:ss"/>
    <numFmt numFmtId="165" formatCode="#,##0.00 &quot;EUR&quot;"/>
    <numFmt numFmtId="166" formatCode="dd/mm/yyyy hh:mm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</font>
    <font>
      <b val="1"/>
      <color rgb="001F4E78"/>
    </font>
    <font>
      <i val="1"/>
      <color rgb="001F4E78"/>
    </font>
    <font>
      <i val="1"/>
      <color rgb="00808080"/>
    </font>
    <font>
      <b val="1"/>
      <color rgb="001F4E78"/>
      <sz val="12"/>
    </font>
    <font>
      <b val="1"/>
      <color rgb="00FFFFFF"/>
    </font>
    <font>
      <b val="1"/>
      <color rgb="00595959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9AA4B2"/>
      </left>
      <right style="thin">
        <color rgb="00BFBFBF"/>
      </right>
      <top style="medium">
        <color rgb="009AA4B2"/>
      </top>
      <bottom style="medium">
        <color rgb="009AA4B2"/>
      </bottom>
    </border>
    <border>
      <left style="thin">
        <color rgb="00BFBFBF"/>
      </left>
      <right style="thin">
        <color rgb="00BFBFBF"/>
      </right>
      <top style="medium">
        <color rgb="009AA4B2"/>
      </top>
      <bottom style="medium">
        <color rgb="009AA4B2"/>
      </bottom>
    </border>
    <border>
      <left style="thin">
        <color rgb="00BFBFBF"/>
      </left>
      <right style="medium">
        <color rgb="009AA4B2"/>
      </right>
      <top style="medium">
        <color rgb="009AA4B2"/>
      </top>
      <bottom style="medium">
        <color rgb="009AA4B2"/>
      </bottom>
    </border>
    <border>
      <left style="medium">
        <color rgb="009AA4B2"/>
      </left>
      <right style="thin">
        <color rgb="00BFBFBF"/>
      </right>
      <top style="medium">
        <color rgb="009AA4B2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9AA4B2"/>
      </top>
      <bottom style="thin">
        <color rgb="00BFBFBF"/>
      </bottom>
    </border>
    <border>
      <left style="thin">
        <color rgb="00BFBFBF"/>
      </left>
      <right style="medium">
        <color rgb="009AA4B2"/>
      </right>
      <top style="medium">
        <color rgb="009AA4B2"/>
      </top>
      <bottom style="thin">
        <color rgb="00BFBFBF"/>
      </bottom>
    </border>
    <border>
      <left style="medium">
        <color rgb="009AA4B2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9AA4B2"/>
      </right>
      <top style="thin">
        <color rgb="00BFBFBF"/>
      </top>
      <bottom style="thin">
        <color rgb="00BFBFBF"/>
      </bottom>
    </border>
    <border>
      <left style="medium">
        <color rgb="009AA4B2"/>
      </left>
      <right style="thin">
        <color rgb="00BFBFBF"/>
      </right>
      <top style="thin">
        <color rgb="00BFBFBF"/>
      </top>
      <bottom style="medium">
        <color rgb="009AA4B2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9AA4B2"/>
      </bottom>
    </border>
    <border>
      <left style="thin">
        <color rgb="00BFBFBF"/>
      </left>
      <right style="medium">
        <color rgb="009AA4B2"/>
      </right>
      <top style="thin">
        <color rgb="00BFBFBF"/>
      </top>
      <bottom style="medium">
        <color rgb="009AA4B2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6" fontId="4" fillId="0" borderId="0" pivotButton="0" quotePrefix="0" xfId="0"/>
    <xf numFmtId="0" fontId="6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 vertical="center"/>
    </xf>
    <xf numFmtId="2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6" applyAlignment="1" pivotButton="0" quotePrefix="0" xfId="0">
      <alignment horizontal="left" vertical="center"/>
    </xf>
    <xf numFmtId="2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2" fontId="10" fillId="0" borderId="1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0" fillId="0" borderId="11" applyAlignment="1" pivotButton="0" quotePrefix="0" xfId="0">
      <alignment horizontal="left" vertical="center"/>
    </xf>
    <xf numFmtId="2" fontId="10" fillId="0" borderId="11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dxfs count="8">
    <dxf>
      <fill>
        <patternFill patternType="solid">
          <fgColor rgb="00D9F2E1"/>
        </patternFill>
      </fill>
    </dxf>
    <dxf>
      <fill>
        <patternFill patternType="solid">
          <fgColor rgb="00FBD9E6"/>
        </patternFill>
      </fill>
    </dxf>
    <dxf>
      <fill>
        <patternFill patternType="solid">
          <fgColor rgb="00FCF1B8"/>
        </patternFill>
      </fill>
    </dxf>
    <dxf>
      <fill>
        <patternFill patternType="solid">
          <fgColor rgb="00F9D6D6"/>
        </patternFill>
      </fill>
    </dxf>
    <dxf>
      <fill>
        <patternFill patternType="solid">
          <fgColor rgb="0063BE7B"/>
        </patternFill>
      </fill>
    </dxf>
    <dxf>
      <fill>
        <patternFill patternType="solid">
          <fgColor rgb="00E06666"/>
        </patternFill>
      </fill>
    </dxf>
    <dxf>
      <font>
        <b val="1"/>
      </font>
      <fill>
        <patternFill patternType="solid">
          <fgColor rgb="0063BE7B"/>
        </patternFill>
      </fill>
    </dxf>
    <dxf>
      <font>
        <b val="1"/>
        <color rgb="00FFFFFF"/>
      </font>
      <fill>
        <patternFill patternType="solid">
          <fgColor rgb="00E066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3"/>
  <sheetViews>
    <sheetView showGridLines="0" zoomScale="70" workbookViewId="0">
      <selection activeCell="A1" sqref="A1"/>
    </sheetView>
  </sheetViews>
  <sheetFormatPr baseColWidth="8" defaultRowHeight="15"/>
  <cols>
    <col width="3.5" customWidth="1" min="1" max="1"/>
    <col width="18" customWidth="1" min="2" max="2"/>
    <col width="5" customWidth="1" min="3" max="3"/>
    <col width="3.5" customWidth="1" min="4" max="4"/>
    <col hidden="1" width="13" customWidth="1" min="5" max="5"/>
    <col width="2" customWidth="1" min="6" max="6"/>
    <col width="3.5" customWidth="1" min="7" max="7"/>
    <col width="18" customWidth="1" min="8" max="8"/>
    <col width="5" customWidth="1" min="9" max="9"/>
    <col width="3.5" customWidth="1" min="10" max="10"/>
    <col hidden="1" width="13" customWidth="1" min="11" max="11"/>
    <col width="2" customWidth="1" min="12" max="12"/>
    <col width="3.5" customWidth="1" min="13" max="13"/>
    <col width="18" customWidth="1" min="14" max="14"/>
    <col width="5" customWidth="1" min="15" max="15"/>
    <col width="3.5" customWidth="1" min="16" max="16"/>
    <col hidden="1" width="13" customWidth="1" min="17" max="17"/>
    <col width="2" customWidth="1" min="18" max="18"/>
    <col width="3.5" customWidth="1" min="19" max="19"/>
    <col width="18" customWidth="1" min="20" max="20"/>
    <col width="5" customWidth="1" min="21" max="21"/>
    <col width="3.5" customWidth="1" min="22" max="22"/>
    <col hidden="1" width="13" customWidth="1" min="23" max="23"/>
    <col width="2" customWidth="1" min="24" max="24"/>
    <col width="3.5" customWidth="1" min="25" max="25"/>
    <col width="18" customWidth="1" min="26" max="26"/>
    <col width="5" customWidth="1" min="27" max="27"/>
    <col width="3.5" customWidth="1" min="28" max="28"/>
    <col hidden="1" width="13" customWidth="1" min="29" max="29"/>
    <col width="2" customWidth="1" min="30" max="30"/>
    <col width="3.5" customWidth="1" min="31" max="31"/>
    <col width="18" customWidth="1" min="32" max="32"/>
    <col width="5" customWidth="1" min="33" max="33"/>
    <col width="3.5" customWidth="1" min="34" max="34"/>
    <col hidden="1" width="13" customWidth="1" min="35" max="35"/>
    <col width="2" customWidth="1" min="36" max="36"/>
    <col width="3.5" customWidth="1" min="37" max="37"/>
    <col width="18" customWidth="1" min="38" max="38"/>
    <col width="5" customWidth="1" min="39" max="39"/>
    <col width="3.5" customWidth="1" min="40" max="40"/>
    <col hidden="1" width="13" customWidth="1" min="41" max="41"/>
    <col width="2" customWidth="1" min="42" max="42"/>
    <col width="3.5" customWidth="1" min="43" max="43"/>
    <col width="18" customWidth="1" min="44" max="44"/>
    <col width="5" customWidth="1" min="45" max="45"/>
    <col width="3.5" customWidth="1" min="46" max="46"/>
    <col hidden="1" width="13" customWidth="1" min="47" max="47"/>
    <col width="2" customWidth="1" min="48" max="48"/>
    <col width="3.5" customWidth="1" min="49" max="49"/>
    <col width="18" customWidth="1" min="50" max="50"/>
    <col width="5" customWidth="1" min="51" max="51"/>
    <col width="3.5" customWidth="1" min="52" max="52"/>
    <col hidden="1" width="13" customWidth="1" min="53" max="53"/>
    <col width="2" customWidth="1" min="54" max="54"/>
  </cols>
  <sheetData>
    <row r="1">
      <c r="A1" s="1" t="inlineStr">
        <is>
          <t>TABELLONE BOLLETTE - live</t>
        </is>
      </c>
      <c r="AB1" s="2" t="inlineStr">
        <is>
          <t>Aggiornato:</t>
        </is>
      </c>
      <c r="AD1" s="3">
        <f>Config!$B$2</f>
        <v/>
      </c>
    </row>
    <row r="2">
      <c r="A2" s="4" t="inlineStr">
        <is>
          <t>Per ogni scommessa: ✔ entrambe passano / ✖ no.  Sfondo pieno = esito DEFINITIVO (verde vinta, rosso persa).</t>
        </is>
      </c>
    </row>
    <row r="4">
      <c r="A4" s="5" t="inlineStr">
        <is>
          <t>BOLLETTA 1  (5.40€)</t>
        </is>
      </c>
      <c r="G4" s="5" t="inlineStr">
        <is>
          <t>BOLLETTA 2  (5.40€)</t>
        </is>
      </c>
      <c r="M4" s="5" t="inlineStr">
        <is>
          <t>BOLLETTA 3  (2.70€)</t>
        </is>
      </c>
      <c r="S4" s="5" t="inlineStr">
        <is>
          <t>BOLLETTA 4  (7.20€)</t>
        </is>
      </c>
      <c r="Y4" s="5" t="inlineStr">
        <is>
          <t>BOLLETTA 5  (16.20€)</t>
        </is>
      </c>
      <c r="AE4" s="5" t="inlineStr">
        <is>
          <t>BOLLETTA 6  (10.80€)</t>
        </is>
      </c>
      <c r="AK4" s="5" t="inlineStr">
        <is>
          <t>BOLLETTA 7  (10.80€)</t>
        </is>
      </c>
      <c r="AQ4" s="5" t="inlineStr">
        <is>
          <t>BOLLETTA 8  (2.70€)</t>
        </is>
      </c>
      <c r="AW4" s="5" t="inlineStr">
        <is>
          <t>BOLLETTA 9  (2.70€)</t>
        </is>
      </c>
    </row>
    <row r="5">
      <c r="A5" s="6" t="inlineStr">
        <is>
          <t>Gir</t>
        </is>
      </c>
      <c r="B5" s="6" t="inlineStr">
        <is>
          <t>Coppia</t>
        </is>
      </c>
      <c r="C5" s="6" t="inlineStr">
        <is>
          <t>Q</t>
        </is>
      </c>
      <c r="D5" s="6" t="inlineStr">
        <is>
          <t>✔</t>
        </is>
      </c>
      <c r="G5" s="6" t="inlineStr">
        <is>
          <t>Gir</t>
        </is>
      </c>
      <c r="H5" s="6" t="inlineStr">
        <is>
          <t>Coppia</t>
        </is>
      </c>
      <c r="I5" s="6" t="inlineStr">
        <is>
          <t>Q</t>
        </is>
      </c>
      <c r="J5" s="6" t="inlineStr">
        <is>
          <t>✔</t>
        </is>
      </c>
      <c r="M5" s="6" t="inlineStr">
        <is>
          <t>Gir</t>
        </is>
      </c>
      <c r="N5" s="6" t="inlineStr">
        <is>
          <t>Coppia</t>
        </is>
      </c>
      <c r="O5" s="6" t="inlineStr">
        <is>
          <t>Q</t>
        </is>
      </c>
      <c r="P5" s="6" t="inlineStr">
        <is>
          <t>✔</t>
        </is>
      </c>
      <c r="S5" s="6" t="inlineStr">
        <is>
          <t>Gir</t>
        </is>
      </c>
      <c r="T5" s="6" t="inlineStr">
        <is>
          <t>Coppia</t>
        </is>
      </c>
      <c r="U5" s="6" t="inlineStr">
        <is>
          <t>Q</t>
        </is>
      </c>
      <c r="V5" s="6" t="inlineStr">
        <is>
          <t>✔</t>
        </is>
      </c>
      <c r="Y5" s="6" t="inlineStr">
        <is>
          <t>Gir</t>
        </is>
      </c>
      <c r="Z5" s="6" t="inlineStr">
        <is>
          <t>Coppia</t>
        </is>
      </c>
      <c r="AA5" s="6" t="inlineStr">
        <is>
          <t>Q</t>
        </is>
      </c>
      <c r="AB5" s="6" t="inlineStr">
        <is>
          <t>✔</t>
        </is>
      </c>
      <c r="AE5" s="6" t="inlineStr">
        <is>
          <t>Gir</t>
        </is>
      </c>
      <c r="AF5" s="6" t="inlineStr">
        <is>
          <t>Coppia</t>
        </is>
      </c>
      <c r="AG5" s="6" t="inlineStr">
        <is>
          <t>Q</t>
        </is>
      </c>
      <c r="AH5" s="6" t="inlineStr">
        <is>
          <t>✔</t>
        </is>
      </c>
      <c r="AK5" s="6" t="inlineStr">
        <is>
          <t>Gir</t>
        </is>
      </c>
      <c r="AL5" s="6" t="inlineStr">
        <is>
          <t>Coppia</t>
        </is>
      </c>
      <c r="AM5" s="6" t="inlineStr">
        <is>
          <t>Q</t>
        </is>
      </c>
      <c r="AN5" s="6" t="inlineStr">
        <is>
          <t>✔</t>
        </is>
      </c>
      <c r="AQ5" s="6" t="inlineStr">
        <is>
          <t>Gir</t>
        </is>
      </c>
      <c r="AR5" s="6" t="inlineStr">
        <is>
          <t>Coppia</t>
        </is>
      </c>
      <c r="AS5" s="6" t="inlineStr">
        <is>
          <t>Q</t>
        </is>
      </c>
      <c r="AT5" s="6" t="inlineStr">
        <is>
          <t>✔</t>
        </is>
      </c>
      <c r="AW5" s="6" t="inlineStr">
        <is>
          <t>Gir</t>
        </is>
      </c>
      <c r="AX5" s="6" t="inlineStr">
        <is>
          <t>Coppia</t>
        </is>
      </c>
      <c r="AY5" s="6" t="inlineStr">
        <is>
          <t>Q</t>
        </is>
      </c>
      <c r="AZ5" s="6" t="inlineStr">
        <is>
          <t>✔</t>
        </is>
      </c>
    </row>
    <row r="6">
      <c r="A6" s="7">
        <f>Scommesse!$C$2</f>
        <v/>
      </c>
      <c r="B6" s="8">
        <f>Scommesse!$D$2&amp;" / "&amp;Scommesse!$E$2</f>
        <v/>
      </c>
      <c r="C6" s="9">
        <f>Scommesse!$F$2</f>
        <v/>
      </c>
      <c r="D6" s="10">
        <f>IF(Scommesse!$S$2&gt;0,"✔","")</f>
        <v/>
      </c>
      <c r="E6">
        <f>Calcoli!$I$2</f>
        <v/>
      </c>
      <c r="G6" s="7">
        <f>Scommesse!$C$19</f>
        <v/>
      </c>
      <c r="H6" s="8">
        <f>Scommesse!$D$19&amp;" / "&amp;Scommesse!$E$19</f>
        <v/>
      </c>
      <c r="I6" s="9">
        <f>Scommesse!$F$19</f>
        <v/>
      </c>
      <c r="J6" s="10">
        <f>IF(Scommesse!$S$19&gt;0,"✔","")</f>
        <v/>
      </c>
      <c r="K6">
        <f>Calcoli!$I$12</f>
        <v/>
      </c>
      <c r="M6" s="7">
        <f>Scommesse!$C$36</f>
        <v/>
      </c>
      <c r="N6" s="8">
        <f>Scommesse!$D$36&amp;" / "&amp;Scommesse!$E$36</f>
        <v/>
      </c>
      <c r="O6" s="9">
        <f>Scommesse!$F$36</f>
        <v/>
      </c>
      <c r="P6" s="10">
        <f>IF(Scommesse!$S$36&gt;0,"✔","")</f>
        <v/>
      </c>
      <c r="Q6">
        <f>Calcoli!$I$22</f>
        <v/>
      </c>
      <c r="S6" s="7">
        <f>Scommesse!$C$51</f>
        <v/>
      </c>
      <c r="T6" s="8">
        <f>Scommesse!$D$51&amp;" / "&amp;Scommesse!$E$51</f>
        <v/>
      </c>
      <c r="U6" s="9">
        <f>Scommesse!$F$51</f>
        <v/>
      </c>
      <c r="V6" s="10">
        <f>IF(Scommesse!$S$51&gt;0,"✔","")</f>
        <v/>
      </c>
      <c r="W6">
        <f>Calcoli!$I$32</f>
        <v/>
      </c>
      <c r="Y6" s="7">
        <f>Scommesse!$C$67</f>
        <v/>
      </c>
      <c r="Z6" s="8">
        <f>Scommesse!$D$67&amp;" / "&amp;Scommesse!$E$67</f>
        <v/>
      </c>
      <c r="AA6" s="9">
        <f>Scommesse!$F$67</f>
        <v/>
      </c>
      <c r="AB6" s="10">
        <f>IF(Scommesse!$S$67&gt;0,"✔","")</f>
        <v/>
      </c>
      <c r="AC6">
        <f>Calcoli!$I$42</f>
        <v/>
      </c>
      <c r="AE6" s="7">
        <f>Scommesse!$C$84</f>
        <v/>
      </c>
      <c r="AF6" s="8">
        <f>Scommesse!$D$84&amp;" / "&amp;Scommesse!$E$84</f>
        <v/>
      </c>
      <c r="AG6" s="9">
        <f>Scommesse!$F$84</f>
        <v/>
      </c>
      <c r="AH6" s="10">
        <f>IF(Scommesse!$S$84&gt;0,"✔","")</f>
        <v/>
      </c>
      <c r="AI6">
        <f>Calcoli!$I$52</f>
        <v/>
      </c>
      <c r="AK6" s="7">
        <f>Scommesse!$C$101</f>
        <v/>
      </c>
      <c r="AL6" s="8">
        <f>Scommesse!$D$101&amp;" / "&amp;Scommesse!$E$101</f>
        <v/>
      </c>
      <c r="AM6" s="9">
        <f>Scommesse!$F$101</f>
        <v/>
      </c>
      <c r="AN6" s="10">
        <f>IF(Scommesse!$S$101&gt;0,"✔","")</f>
        <v/>
      </c>
      <c r="AO6">
        <f>Calcoli!$I$62</f>
        <v/>
      </c>
      <c r="AQ6" s="7">
        <f>Scommesse!$C$118</f>
        <v/>
      </c>
      <c r="AR6" s="8">
        <f>Scommesse!$D$118&amp;" / "&amp;Scommesse!$E$118</f>
        <v/>
      </c>
      <c r="AS6" s="9">
        <f>Scommesse!$F$118</f>
        <v/>
      </c>
      <c r="AT6" s="10">
        <f>IF(Scommesse!$S$118&gt;0,"✔","")</f>
        <v/>
      </c>
      <c r="AU6">
        <f>Calcoli!$I$72</f>
        <v/>
      </c>
      <c r="AW6" s="7">
        <f>Scommesse!$C$135</f>
        <v/>
      </c>
      <c r="AX6" s="8">
        <f>Scommesse!$D$135&amp;" / "&amp;Scommesse!$E$135</f>
        <v/>
      </c>
      <c r="AY6" s="9">
        <f>Scommesse!$F$135</f>
        <v/>
      </c>
      <c r="AZ6" s="10">
        <f>IF(Scommesse!$S$135&gt;0,"✔","")</f>
        <v/>
      </c>
      <c r="BA6">
        <f>Calcoli!$I$82</f>
        <v/>
      </c>
    </row>
    <row r="7">
      <c r="A7" s="7">
        <f>Scommesse!$C$3</f>
        <v/>
      </c>
      <c r="B7" s="8">
        <f>Scommesse!$D$3&amp;" / "&amp;Scommesse!$E$3</f>
        <v/>
      </c>
      <c r="C7" s="9">
        <f>Scommesse!$F$3</f>
        <v/>
      </c>
      <c r="D7" s="10">
        <f>IF(Scommesse!$S$3&gt;0,"✔","")</f>
        <v/>
      </c>
      <c r="E7">
        <f>Calcoli!$I$4</f>
        <v/>
      </c>
      <c r="G7" s="7">
        <f>Scommesse!$C$20</f>
        <v/>
      </c>
      <c r="H7" s="8">
        <f>Scommesse!$D$20&amp;" / "&amp;Scommesse!$E$20</f>
        <v/>
      </c>
      <c r="I7" s="9">
        <f>Scommesse!$F$20</f>
        <v/>
      </c>
      <c r="J7" s="10">
        <f>IF(Scommesse!$S$20&gt;0,"✔","")</f>
        <v/>
      </c>
      <c r="K7">
        <f>Calcoli!$I$14</f>
        <v/>
      </c>
      <c r="M7" s="7">
        <f>Scommesse!$C$37</f>
        <v/>
      </c>
      <c r="N7" s="8">
        <f>Scommesse!$D$37&amp;" / "&amp;Scommesse!$E$37</f>
        <v/>
      </c>
      <c r="O7" s="9">
        <f>Scommesse!$F$37</f>
        <v/>
      </c>
      <c r="P7" s="10">
        <f>IF(Scommesse!$S$37&gt;0,"✔","")</f>
        <v/>
      </c>
      <c r="Q7">
        <f>Calcoli!$I$24</f>
        <v/>
      </c>
      <c r="S7" s="7">
        <f>Scommesse!$C$52</f>
        <v/>
      </c>
      <c r="T7" s="8">
        <f>Scommesse!$D$52&amp;" / "&amp;Scommesse!$E$52</f>
        <v/>
      </c>
      <c r="U7" s="9">
        <f>Scommesse!$F$52</f>
        <v/>
      </c>
      <c r="V7" s="10">
        <f>IF(Scommesse!$S$52&gt;0,"✔","")</f>
        <v/>
      </c>
      <c r="W7">
        <f>Calcoli!$I$34</f>
        <v/>
      </c>
      <c r="Y7" s="7">
        <f>Scommesse!$C$68</f>
        <v/>
      </c>
      <c r="Z7" s="8">
        <f>Scommesse!$D$68&amp;" / "&amp;Scommesse!$E$68</f>
        <v/>
      </c>
      <c r="AA7" s="9">
        <f>Scommesse!$F$68</f>
        <v/>
      </c>
      <c r="AB7" s="10">
        <f>IF(Scommesse!$S$68&gt;0,"✔","")</f>
        <v/>
      </c>
      <c r="AC7">
        <f>Calcoli!$I$44</f>
        <v/>
      </c>
      <c r="AE7" s="7">
        <f>Scommesse!$C$85</f>
        <v/>
      </c>
      <c r="AF7" s="8">
        <f>Scommesse!$D$85&amp;" / "&amp;Scommesse!$E$85</f>
        <v/>
      </c>
      <c r="AG7" s="9">
        <f>Scommesse!$F$85</f>
        <v/>
      </c>
      <c r="AH7" s="10">
        <f>IF(Scommesse!$S$85&gt;0,"✔","")</f>
        <v/>
      </c>
      <c r="AI7">
        <f>Calcoli!$I$54</f>
        <v/>
      </c>
      <c r="AK7" s="7">
        <f>Scommesse!$C$102</f>
        <v/>
      </c>
      <c r="AL7" s="8">
        <f>Scommesse!$D$102&amp;" / "&amp;Scommesse!$E$102</f>
        <v/>
      </c>
      <c r="AM7" s="9">
        <f>Scommesse!$F$102</f>
        <v/>
      </c>
      <c r="AN7" s="10">
        <f>IF(Scommesse!$S$102&gt;0,"✔","")</f>
        <v/>
      </c>
      <c r="AO7">
        <f>Calcoli!$I$64</f>
        <v/>
      </c>
      <c r="AQ7" s="7">
        <f>Scommesse!$C$119</f>
        <v/>
      </c>
      <c r="AR7" s="8">
        <f>Scommesse!$D$119&amp;" / "&amp;Scommesse!$E$119</f>
        <v/>
      </c>
      <c r="AS7" s="9">
        <f>Scommesse!$F$119</f>
        <v/>
      </c>
      <c r="AT7" s="10">
        <f>IF(Scommesse!$S$119&gt;0,"✔","")</f>
        <v/>
      </c>
      <c r="AU7">
        <f>Calcoli!$I$74</f>
        <v/>
      </c>
      <c r="AW7" s="7">
        <f>Scommesse!$C$136</f>
        <v/>
      </c>
      <c r="AX7" s="8">
        <f>Scommesse!$D$136&amp;" / "&amp;Scommesse!$E$136</f>
        <v/>
      </c>
      <c r="AY7" s="9">
        <f>Scommesse!$F$136</f>
        <v/>
      </c>
      <c r="AZ7" s="10">
        <f>IF(Scommesse!$S$136&gt;0,"✔","")</f>
        <v/>
      </c>
      <c r="BA7">
        <f>Calcoli!$I$84</f>
        <v/>
      </c>
    </row>
    <row r="8">
      <c r="A8" s="11">
        <f>Scommesse!$C$4</f>
        <v/>
      </c>
      <c r="B8" s="12">
        <f>Scommesse!$D$4&amp;" / "&amp;Scommesse!$E$4</f>
        <v/>
      </c>
      <c r="C8" s="13">
        <f>Scommesse!$F$4</f>
        <v/>
      </c>
      <c r="D8" s="14">
        <f>IF(Scommesse!$S$4&gt;0,"✔","")</f>
        <v/>
      </c>
      <c r="E8">
        <f>Calcoli!$I$5</f>
        <v/>
      </c>
      <c r="G8" s="11">
        <f>Scommesse!$C$21</f>
        <v/>
      </c>
      <c r="H8" s="12">
        <f>Scommesse!$D$21&amp;" / "&amp;Scommesse!$E$21</f>
        <v/>
      </c>
      <c r="I8" s="13">
        <f>Scommesse!$F$21</f>
        <v/>
      </c>
      <c r="J8" s="14">
        <f>IF(Scommesse!$S$21&gt;0,"✔","")</f>
        <v/>
      </c>
      <c r="K8">
        <f>Calcoli!$I$15</f>
        <v/>
      </c>
      <c r="M8" s="11">
        <f>Scommesse!$C$38</f>
        <v/>
      </c>
      <c r="N8" s="12">
        <f>Scommesse!$D$38&amp;" / "&amp;Scommesse!$E$38</f>
        <v/>
      </c>
      <c r="O8" s="13">
        <f>Scommesse!$F$38</f>
        <v/>
      </c>
      <c r="P8" s="14">
        <f>IF(Scommesse!$S$38&gt;0,"✔","")</f>
        <v/>
      </c>
      <c r="Q8">
        <f>Calcoli!$I$25</f>
        <v/>
      </c>
      <c r="S8" s="11">
        <f>Scommesse!$C$53</f>
        <v/>
      </c>
      <c r="T8" s="12">
        <f>Scommesse!$D$53&amp;" / "&amp;Scommesse!$E$53</f>
        <v/>
      </c>
      <c r="U8" s="13">
        <f>Scommesse!$F$53</f>
        <v/>
      </c>
      <c r="V8" s="14">
        <f>IF(Scommesse!$S$53&gt;0,"✔","")</f>
        <v/>
      </c>
      <c r="W8">
        <f>Calcoli!$I$35</f>
        <v/>
      </c>
      <c r="Y8" s="11">
        <f>Scommesse!$C$69</f>
        <v/>
      </c>
      <c r="Z8" s="12">
        <f>Scommesse!$D$69&amp;" / "&amp;Scommesse!$E$69</f>
        <v/>
      </c>
      <c r="AA8" s="13">
        <f>Scommesse!$F$69</f>
        <v/>
      </c>
      <c r="AB8" s="14">
        <f>IF(Scommesse!$S$69&gt;0,"✔","")</f>
        <v/>
      </c>
      <c r="AC8">
        <f>Calcoli!$I$45</f>
        <v/>
      </c>
      <c r="AE8" s="11">
        <f>Scommesse!$C$86</f>
        <v/>
      </c>
      <c r="AF8" s="12">
        <f>Scommesse!$D$86&amp;" / "&amp;Scommesse!$E$86</f>
        <v/>
      </c>
      <c r="AG8" s="13">
        <f>Scommesse!$F$86</f>
        <v/>
      </c>
      <c r="AH8" s="14">
        <f>IF(Scommesse!$S$86&gt;0,"✔","")</f>
        <v/>
      </c>
      <c r="AI8">
        <f>Calcoli!$I$55</f>
        <v/>
      </c>
      <c r="AK8" s="11">
        <f>Scommesse!$C$103</f>
        <v/>
      </c>
      <c r="AL8" s="12">
        <f>Scommesse!$D$103&amp;" / "&amp;Scommesse!$E$103</f>
        <v/>
      </c>
      <c r="AM8" s="13">
        <f>Scommesse!$F$103</f>
        <v/>
      </c>
      <c r="AN8" s="14">
        <f>IF(Scommesse!$S$103&gt;0,"✔","")</f>
        <v/>
      </c>
      <c r="AO8">
        <f>Calcoli!$I$65</f>
        <v/>
      </c>
      <c r="AQ8" s="11">
        <f>Scommesse!$C$120</f>
        <v/>
      </c>
      <c r="AR8" s="12">
        <f>Scommesse!$D$120&amp;" / "&amp;Scommesse!$E$120</f>
        <v/>
      </c>
      <c r="AS8" s="13">
        <f>Scommesse!$F$120</f>
        <v/>
      </c>
      <c r="AT8" s="14">
        <f>IF(Scommesse!$S$120&gt;0,"✔","")</f>
        <v/>
      </c>
      <c r="AU8">
        <f>Calcoli!$I$75</f>
        <v/>
      </c>
      <c r="AW8" s="11">
        <f>Scommesse!$C$137</f>
        <v/>
      </c>
      <c r="AX8" s="12">
        <f>Scommesse!$D$137&amp;" / "&amp;Scommesse!$E$137</f>
        <v/>
      </c>
      <c r="AY8" s="13">
        <f>Scommesse!$F$137</f>
        <v/>
      </c>
      <c r="AZ8" s="14">
        <f>IF(Scommesse!$S$137&gt;0,"✔","")</f>
        <v/>
      </c>
      <c r="BA8">
        <f>Calcoli!$I$85</f>
        <v/>
      </c>
    </row>
    <row r="9">
      <c r="A9" s="15">
        <f>Scommesse!$C$5</f>
        <v/>
      </c>
      <c r="B9" s="16">
        <f>Scommesse!$D$5&amp;" / "&amp;Scommesse!$E$5</f>
        <v/>
      </c>
      <c r="C9" s="17">
        <f>Scommesse!$F$5</f>
        <v/>
      </c>
      <c r="D9" s="18">
        <f>IF(Scommesse!$S$5&gt;0,"✔","")</f>
        <v/>
      </c>
      <c r="E9">
        <f>Calcoli!$I$5</f>
        <v/>
      </c>
      <c r="G9" s="15">
        <f>Scommesse!$C$22</f>
        <v/>
      </c>
      <c r="H9" s="16">
        <f>Scommesse!$D$22&amp;" / "&amp;Scommesse!$E$22</f>
        <v/>
      </c>
      <c r="I9" s="17">
        <f>Scommesse!$F$22</f>
        <v/>
      </c>
      <c r="J9" s="18">
        <f>IF(Scommesse!$S$22&gt;0,"✔","")</f>
        <v/>
      </c>
      <c r="K9">
        <f>Calcoli!$I$15</f>
        <v/>
      </c>
      <c r="M9" s="15">
        <f>Scommesse!$C$39</f>
        <v/>
      </c>
      <c r="N9" s="16">
        <f>Scommesse!$D$39&amp;" / "&amp;Scommesse!$E$39</f>
        <v/>
      </c>
      <c r="O9" s="17">
        <f>Scommesse!$F$39</f>
        <v/>
      </c>
      <c r="P9" s="18">
        <f>IF(Scommesse!$S$39&gt;0,"✔","")</f>
        <v/>
      </c>
      <c r="Q9">
        <f>Calcoli!$I$25</f>
        <v/>
      </c>
      <c r="S9" s="15">
        <f>Scommesse!$C$54</f>
        <v/>
      </c>
      <c r="T9" s="16">
        <f>Scommesse!$D$54&amp;" / "&amp;Scommesse!$E$54</f>
        <v/>
      </c>
      <c r="U9" s="17">
        <f>Scommesse!$F$54</f>
        <v/>
      </c>
      <c r="V9" s="18">
        <f>IF(Scommesse!$S$54&gt;0,"✔","")</f>
        <v/>
      </c>
      <c r="W9">
        <f>Calcoli!$I$35</f>
        <v/>
      </c>
      <c r="Y9" s="15">
        <f>Scommesse!$C$70</f>
        <v/>
      </c>
      <c r="Z9" s="16">
        <f>Scommesse!$D$70&amp;" / "&amp;Scommesse!$E$70</f>
        <v/>
      </c>
      <c r="AA9" s="17">
        <f>Scommesse!$F$70</f>
        <v/>
      </c>
      <c r="AB9" s="18">
        <f>IF(Scommesse!$S$70&gt;0,"✔","")</f>
        <v/>
      </c>
      <c r="AC9">
        <f>Calcoli!$I$45</f>
        <v/>
      </c>
      <c r="AE9" s="15">
        <f>Scommesse!$C$87</f>
        <v/>
      </c>
      <c r="AF9" s="16">
        <f>Scommesse!$D$87&amp;" / "&amp;Scommesse!$E$87</f>
        <v/>
      </c>
      <c r="AG9" s="17">
        <f>Scommesse!$F$87</f>
        <v/>
      </c>
      <c r="AH9" s="18">
        <f>IF(Scommesse!$S$87&gt;0,"✔","")</f>
        <v/>
      </c>
      <c r="AI9">
        <f>Calcoli!$I$55</f>
        <v/>
      </c>
      <c r="AK9" s="15">
        <f>Scommesse!$C$104</f>
        <v/>
      </c>
      <c r="AL9" s="16">
        <f>Scommesse!$D$104&amp;" / "&amp;Scommesse!$E$104</f>
        <v/>
      </c>
      <c r="AM9" s="17">
        <f>Scommesse!$F$104</f>
        <v/>
      </c>
      <c r="AN9" s="18">
        <f>IF(Scommesse!$S$104&gt;0,"✔","")</f>
        <v/>
      </c>
      <c r="AO9">
        <f>Calcoli!$I$65</f>
        <v/>
      </c>
      <c r="AQ9" s="15">
        <f>Scommesse!$C$121</f>
        <v/>
      </c>
      <c r="AR9" s="16">
        <f>Scommesse!$D$121&amp;" / "&amp;Scommesse!$E$121</f>
        <v/>
      </c>
      <c r="AS9" s="17">
        <f>Scommesse!$F$121</f>
        <v/>
      </c>
      <c r="AT9" s="18">
        <f>IF(Scommesse!$S$121&gt;0,"✔","")</f>
        <v/>
      </c>
      <c r="AU9">
        <f>Calcoli!$I$75</f>
        <v/>
      </c>
      <c r="AW9" s="15">
        <f>Scommesse!$C$138</f>
        <v/>
      </c>
      <c r="AX9" s="16">
        <f>Scommesse!$D$138&amp;" / "&amp;Scommesse!$E$138</f>
        <v/>
      </c>
      <c r="AY9" s="17">
        <f>Scommesse!$F$138</f>
        <v/>
      </c>
      <c r="AZ9" s="18">
        <f>IF(Scommesse!$S$138&gt;0,"✔","")</f>
        <v/>
      </c>
      <c r="BA9">
        <f>Calcoli!$I$85</f>
        <v/>
      </c>
    </row>
    <row r="10">
      <c r="A10" s="19">
        <f>Scommesse!$C$6</f>
        <v/>
      </c>
      <c r="B10" s="20">
        <f>Scommesse!$D$6&amp;" / "&amp;Scommesse!$E$6</f>
        <v/>
      </c>
      <c r="C10" s="21">
        <f>Scommesse!$F$6</f>
        <v/>
      </c>
      <c r="D10" s="22">
        <f>IF(Scommesse!$S$6&gt;0,"✔","")</f>
        <v/>
      </c>
      <c r="E10">
        <f>Calcoli!$I$5</f>
        <v/>
      </c>
      <c r="G10" s="19">
        <f>Scommesse!$C$23</f>
        <v/>
      </c>
      <c r="H10" s="20">
        <f>Scommesse!$D$23&amp;" / "&amp;Scommesse!$E$23</f>
        <v/>
      </c>
      <c r="I10" s="21">
        <f>Scommesse!$F$23</f>
        <v/>
      </c>
      <c r="J10" s="22">
        <f>IF(Scommesse!$S$23&gt;0,"✔","")</f>
        <v/>
      </c>
      <c r="K10">
        <f>Calcoli!$I$15</f>
        <v/>
      </c>
      <c r="M10" s="19">
        <f>Scommesse!$C$40</f>
        <v/>
      </c>
      <c r="N10" s="20">
        <f>Scommesse!$D$40&amp;" / "&amp;Scommesse!$E$40</f>
        <v/>
      </c>
      <c r="O10" s="21">
        <f>Scommesse!$F$40</f>
        <v/>
      </c>
      <c r="P10" s="22">
        <f>IF(Scommesse!$S$40&gt;0,"✔","")</f>
        <v/>
      </c>
      <c r="Q10">
        <f>Calcoli!$I$25</f>
        <v/>
      </c>
      <c r="S10" s="19">
        <f>Scommesse!$C$55</f>
        <v/>
      </c>
      <c r="T10" s="20">
        <f>Scommesse!$D$55&amp;" / "&amp;Scommesse!$E$55</f>
        <v/>
      </c>
      <c r="U10" s="21">
        <f>Scommesse!$F$55</f>
        <v/>
      </c>
      <c r="V10" s="22">
        <f>IF(Scommesse!$S$55&gt;0,"✔","")</f>
        <v/>
      </c>
      <c r="W10">
        <f>Calcoli!$I$35</f>
        <v/>
      </c>
      <c r="Y10" s="19">
        <f>Scommesse!$C$71</f>
        <v/>
      </c>
      <c r="Z10" s="20">
        <f>Scommesse!$D$71&amp;" / "&amp;Scommesse!$E$71</f>
        <v/>
      </c>
      <c r="AA10" s="21">
        <f>Scommesse!$F$71</f>
        <v/>
      </c>
      <c r="AB10" s="22">
        <f>IF(Scommesse!$S$71&gt;0,"✔","")</f>
        <v/>
      </c>
      <c r="AC10">
        <f>Calcoli!$I$45</f>
        <v/>
      </c>
      <c r="AE10" s="19">
        <f>Scommesse!$C$88</f>
        <v/>
      </c>
      <c r="AF10" s="20">
        <f>Scommesse!$D$88&amp;" / "&amp;Scommesse!$E$88</f>
        <v/>
      </c>
      <c r="AG10" s="21">
        <f>Scommesse!$F$88</f>
        <v/>
      </c>
      <c r="AH10" s="22">
        <f>IF(Scommesse!$S$88&gt;0,"✔","")</f>
        <v/>
      </c>
      <c r="AI10">
        <f>Calcoli!$I$55</f>
        <v/>
      </c>
      <c r="AK10" s="19">
        <f>Scommesse!$C$105</f>
        <v/>
      </c>
      <c r="AL10" s="20">
        <f>Scommesse!$D$105&amp;" / "&amp;Scommesse!$E$105</f>
        <v/>
      </c>
      <c r="AM10" s="21">
        <f>Scommesse!$F$105</f>
        <v/>
      </c>
      <c r="AN10" s="22">
        <f>IF(Scommesse!$S$105&gt;0,"✔","")</f>
        <v/>
      </c>
      <c r="AO10">
        <f>Calcoli!$I$65</f>
        <v/>
      </c>
      <c r="AQ10" s="19">
        <f>Scommesse!$C$122</f>
        <v/>
      </c>
      <c r="AR10" s="20">
        <f>Scommesse!$D$122&amp;" / "&amp;Scommesse!$E$122</f>
        <v/>
      </c>
      <c r="AS10" s="21">
        <f>Scommesse!$F$122</f>
        <v/>
      </c>
      <c r="AT10" s="22">
        <f>IF(Scommesse!$S$122&gt;0,"✔","")</f>
        <v/>
      </c>
      <c r="AU10">
        <f>Calcoli!$I$75</f>
        <v/>
      </c>
      <c r="AW10" s="19">
        <f>Scommesse!$C$139</f>
        <v/>
      </c>
      <c r="AX10" s="20">
        <f>Scommesse!$D$139&amp;" / "&amp;Scommesse!$E$139</f>
        <v/>
      </c>
      <c r="AY10" s="21">
        <f>Scommesse!$F$139</f>
        <v/>
      </c>
      <c r="AZ10" s="22">
        <f>IF(Scommesse!$S$139&gt;0,"✔","")</f>
        <v/>
      </c>
      <c r="BA10">
        <f>Calcoli!$I$85</f>
        <v/>
      </c>
    </row>
    <row r="11">
      <c r="A11" s="11">
        <f>Scommesse!$C$7</f>
        <v/>
      </c>
      <c r="B11" s="12">
        <f>Scommesse!$D$7&amp;" / "&amp;Scommesse!$E$7</f>
        <v/>
      </c>
      <c r="C11" s="13">
        <f>Scommesse!$F$7</f>
        <v/>
      </c>
      <c r="D11" s="14">
        <f>IF(Scommesse!$S$7&gt;0,"✔","")</f>
        <v/>
      </c>
      <c r="E11">
        <f>Calcoli!$I$3</f>
        <v/>
      </c>
      <c r="G11" s="11">
        <f>Scommesse!$C$24</f>
        <v/>
      </c>
      <c r="H11" s="12">
        <f>Scommesse!$D$24&amp;" / "&amp;Scommesse!$E$24</f>
        <v/>
      </c>
      <c r="I11" s="13">
        <f>Scommesse!$F$24</f>
        <v/>
      </c>
      <c r="J11" s="14">
        <f>IF(Scommesse!$S$24&gt;0,"✔","")</f>
        <v/>
      </c>
      <c r="K11">
        <f>Calcoli!$I$13</f>
        <v/>
      </c>
      <c r="M11" s="11">
        <f>Scommesse!$C$41</f>
        <v/>
      </c>
      <c r="N11" s="12">
        <f>Scommesse!$D$41&amp;" / "&amp;Scommesse!$E$41</f>
        <v/>
      </c>
      <c r="O11" s="13">
        <f>Scommesse!$F$41</f>
        <v/>
      </c>
      <c r="P11" s="14">
        <f>IF(Scommesse!$S$41&gt;0,"✔","")</f>
        <v/>
      </c>
      <c r="Q11">
        <f>Calcoli!$I$23</f>
        <v/>
      </c>
      <c r="S11" s="11">
        <f>Scommesse!$C$56</f>
        <v/>
      </c>
      <c r="T11" s="12">
        <f>Scommesse!$D$56&amp;" / "&amp;Scommesse!$E$56</f>
        <v/>
      </c>
      <c r="U11" s="13">
        <f>Scommesse!$F$56</f>
        <v/>
      </c>
      <c r="V11" s="14">
        <f>IF(Scommesse!$S$56&gt;0,"✔","")</f>
        <v/>
      </c>
      <c r="W11">
        <f>Calcoli!$I$33</f>
        <v/>
      </c>
      <c r="Y11" s="11">
        <f>Scommesse!$C$72</f>
        <v/>
      </c>
      <c r="Z11" s="12">
        <f>Scommesse!$D$72&amp;" / "&amp;Scommesse!$E$72</f>
        <v/>
      </c>
      <c r="AA11" s="13">
        <f>Scommesse!$F$72</f>
        <v/>
      </c>
      <c r="AB11" s="14">
        <f>IF(Scommesse!$S$72&gt;0,"✔","")</f>
        <v/>
      </c>
      <c r="AC11">
        <f>Calcoli!$I$43</f>
        <v/>
      </c>
      <c r="AE11" s="11">
        <f>Scommesse!$C$89</f>
        <v/>
      </c>
      <c r="AF11" s="12">
        <f>Scommesse!$D$89&amp;" / "&amp;Scommesse!$E$89</f>
        <v/>
      </c>
      <c r="AG11" s="13">
        <f>Scommesse!$F$89</f>
        <v/>
      </c>
      <c r="AH11" s="14">
        <f>IF(Scommesse!$S$89&gt;0,"✔","")</f>
        <v/>
      </c>
      <c r="AI11">
        <f>Calcoli!$I$53</f>
        <v/>
      </c>
      <c r="AK11" s="11">
        <f>Scommesse!$C$106</f>
        <v/>
      </c>
      <c r="AL11" s="12">
        <f>Scommesse!$D$106&amp;" / "&amp;Scommesse!$E$106</f>
        <v/>
      </c>
      <c r="AM11" s="13">
        <f>Scommesse!$F$106</f>
        <v/>
      </c>
      <c r="AN11" s="14">
        <f>IF(Scommesse!$S$106&gt;0,"✔","")</f>
        <v/>
      </c>
      <c r="AO11">
        <f>Calcoli!$I$63</f>
        <v/>
      </c>
      <c r="AQ11" s="11">
        <f>Scommesse!$C$123</f>
        <v/>
      </c>
      <c r="AR11" s="12">
        <f>Scommesse!$D$123&amp;" / "&amp;Scommesse!$E$123</f>
        <v/>
      </c>
      <c r="AS11" s="13">
        <f>Scommesse!$F$123</f>
        <v/>
      </c>
      <c r="AT11" s="14">
        <f>IF(Scommesse!$S$123&gt;0,"✔","")</f>
        <v/>
      </c>
      <c r="AU11">
        <f>Calcoli!$I$73</f>
        <v/>
      </c>
      <c r="AW11" s="11">
        <f>Scommesse!$C$140</f>
        <v/>
      </c>
      <c r="AX11" s="12">
        <f>Scommesse!$D$140&amp;" / "&amp;Scommesse!$E$140</f>
        <v/>
      </c>
      <c r="AY11" s="13">
        <f>Scommesse!$F$140</f>
        <v/>
      </c>
      <c r="AZ11" s="14">
        <f>IF(Scommesse!$S$140&gt;0,"✔","")</f>
        <v/>
      </c>
      <c r="BA11">
        <f>Calcoli!$I$83</f>
        <v/>
      </c>
    </row>
    <row r="12">
      <c r="A12" s="15">
        <f>Scommesse!$C$8</f>
        <v/>
      </c>
      <c r="B12" s="16">
        <f>Scommesse!$D$8&amp;" / "&amp;Scommesse!$E$8</f>
        <v/>
      </c>
      <c r="C12" s="17">
        <f>Scommesse!$F$8</f>
        <v/>
      </c>
      <c r="D12" s="18">
        <f>IF(Scommesse!$S$8&gt;0,"✔","")</f>
        <v/>
      </c>
      <c r="E12">
        <f>Calcoli!$I$3</f>
        <v/>
      </c>
      <c r="G12" s="15">
        <f>Scommesse!$C$25</f>
        <v/>
      </c>
      <c r="H12" s="16">
        <f>Scommesse!$D$25&amp;" / "&amp;Scommesse!$E$25</f>
        <v/>
      </c>
      <c r="I12" s="17">
        <f>Scommesse!$F$25</f>
        <v/>
      </c>
      <c r="J12" s="18">
        <f>IF(Scommesse!$S$25&gt;0,"✔","")</f>
        <v/>
      </c>
      <c r="K12">
        <f>Calcoli!$I$13</f>
        <v/>
      </c>
      <c r="M12" s="15">
        <f>Scommesse!$C$42</f>
        <v/>
      </c>
      <c r="N12" s="16">
        <f>Scommesse!$D$42&amp;" / "&amp;Scommesse!$E$42</f>
        <v/>
      </c>
      <c r="O12" s="17">
        <f>Scommesse!$F$42</f>
        <v/>
      </c>
      <c r="P12" s="18">
        <f>IF(Scommesse!$S$42&gt;0,"✔","")</f>
        <v/>
      </c>
      <c r="Q12">
        <f>Calcoli!$I$23</f>
        <v/>
      </c>
      <c r="S12" s="15">
        <f>Scommesse!$C$57</f>
        <v/>
      </c>
      <c r="T12" s="16">
        <f>Scommesse!$D$57&amp;" / "&amp;Scommesse!$E$57</f>
        <v/>
      </c>
      <c r="U12" s="17">
        <f>Scommesse!$F$57</f>
        <v/>
      </c>
      <c r="V12" s="18">
        <f>IF(Scommesse!$S$57&gt;0,"✔","")</f>
        <v/>
      </c>
      <c r="W12">
        <f>Calcoli!$I$33</f>
        <v/>
      </c>
      <c r="Y12" s="15">
        <f>Scommesse!$C$73</f>
        <v/>
      </c>
      <c r="Z12" s="16">
        <f>Scommesse!$D$73&amp;" / "&amp;Scommesse!$E$73</f>
        <v/>
      </c>
      <c r="AA12" s="17">
        <f>Scommesse!$F$73</f>
        <v/>
      </c>
      <c r="AB12" s="18">
        <f>IF(Scommesse!$S$73&gt;0,"✔","")</f>
        <v/>
      </c>
      <c r="AC12">
        <f>Calcoli!$I$43</f>
        <v/>
      </c>
      <c r="AE12" s="15">
        <f>Scommesse!$C$90</f>
        <v/>
      </c>
      <c r="AF12" s="16">
        <f>Scommesse!$D$90&amp;" / "&amp;Scommesse!$E$90</f>
        <v/>
      </c>
      <c r="AG12" s="17">
        <f>Scommesse!$F$90</f>
        <v/>
      </c>
      <c r="AH12" s="18">
        <f>IF(Scommesse!$S$90&gt;0,"✔","")</f>
        <v/>
      </c>
      <c r="AI12">
        <f>Calcoli!$I$53</f>
        <v/>
      </c>
      <c r="AK12" s="15">
        <f>Scommesse!$C$107</f>
        <v/>
      </c>
      <c r="AL12" s="16">
        <f>Scommesse!$D$107&amp;" / "&amp;Scommesse!$E$107</f>
        <v/>
      </c>
      <c r="AM12" s="17">
        <f>Scommesse!$F$107</f>
        <v/>
      </c>
      <c r="AN12" s="18">
        <f>IF(Scommesse!$S$107&gt;0,"✔","")</f>
        <v/>
      </c>
      <c r="AO12">
        <f>Calcoli!$I$63</f>
        <v/>
      </c>
      <c r="AQ12" s="15">
        <f>Scommesse!$C$124</f>
        <v/>
      </c>
      <c r="AR12" s="16">
        <f>Scommesse!$D$124&amp;" / "&amp;Scommesse!$E$124</f>
        <v/>
      </c>
      <c r="AS12" s="17">
        <f>Scommesse!$F$124</f>
        <v/>
      </c>
      <c r="AT12" s="18">
        <f>IF(Scommesse!$S$124&gt;0,"✔","")</f>
        <v/>
      </c>
      <c r="AU12">
        <f>Calcoli!$I$73</f>
        <v/>
      </c>
      <c r="AW12" s="15">
        <f>Scommesse!$C$141</f>
        <v/>
      </c>
      <c r="AX12" s="16">
        <f>Scommesse!$D$141&amp;" / "&amp;Scommesse!$E$141</f>
        <v/>
      </c>
      <c r="AY12" s="17">
        <f>Scommesse!$F$141</f>
        <v/>
      </c>
      <c r="AZ12" s="18">
        <f>IF(Scommesse!$S$141&gt;0,"✔","")</f>
        <v/>
      </c>
      <c r="BA12">
        <f>Calcoli!$I$83</f>
        <v/>
      </c>
    </row>
    <row r="13">
      <c r="A13" s="19">
        <f>Scommesse!$C$9</f>
        <v/>
      </c>
      <c r="B13" s="20">
        <f>Scommesse!$D$9&amp;" / "&amp;Scommesse!$E$9</f>
        <v/>
      </c>
      <c r="C13" s="21">
        <f>Scommesse!$F$9</f>
        <v/>
      </c>
      <c r="D13" s="22">
        <f>IF(Scommesse!$S$9&gt;0,"✔","")</f>
        <v/>
      </c>
      <c r="E13">
        <f>Calcoli!$I$3</f>
        <v/>
      </c>
      <c r="G13" s="19">
        <f>Scommesse!$C$26</f>
        <v/>
      </c>
      <c r="H13" s="20">
        <f>Scommesse!$D$26&amp;" / "&amp;Scommesse!$E$26</f>
        <v/>
      </c>
      <c r="I13" s="21">
        <f>Scommesse!$F$26</f>
        <v/>
      </c>
      <c r="J13" s="22">
        <f>IF(Scommesse!$S$26&gt;0,"✔","")</f>
        <v/>
      </c>
      <c r="K13">
        <f>Calcoli!$I$13</f>
        <v/>
      </c>
      <c r="M13" s="19">
        <f>Scommesse!$C$43</f>
        <v/>
      </c>
      <c r="N13" s="20">
        <f>Scommesse!$D$43&amp;" / "&amp;Scommesse!$E$43</f>
        <v/>
      </c>
      <c r="O13" s="21">
        <f>Scommesse!$F$43</f>
        <v/>
      </c>
      <c r="P13" s="22">
        <f>IF(Scommesse!$S$43&gt;0,"✔","")</f>
        <v/>
      </c>
      <c r="Q13">
        <f>Calcoli!$I$23</f>
        <v/>
      </c>
      <c r="S13" s="19">
        <f>Scommesse!$C$58</f>
        <v/>
      </c>
      <c r="T13" s="20">
        <f>Scommesse!$D$58&amp;" / "&amp;Scommesse!$E$58</f>
        <v/>
      </c>
      <c r="U13" s="21">
        <f>Scommesse!$F$58</f>
        <v/>
      </c>
      <c r="V13" s="22">
        <f>IF(Scommesse!$S$58&gt;0,"✔","")</f>
        <v/>
      </c>
      <c r="W13">
        <f>Calcoli!$I$33</f>
        <v/>
      </c>
      <c r="Y13" s="19">
        <f>Scommesse!$C$74</f>
        <v/>
      </c>
      <c r="Z13" s="20">
        <f>Scommesse!$D$74&amp;" / "&amp;Scommesse!$E$74</f>
        <v/>
      </c>
      <c r="AA13" s="21">
        <f>Scommesse!$F$74</f>
        <v/>
      </c>
      <c r="AB13" s="22">
        <f>IF(Scommesse!$S$74&gt;0,"✔","")</f>
        <v/>
      </c>
      <c r="AC13">
        <f>Calcoli!$I$43</f>
        <v/>
      </c>
      <c r="AE13" s="19">
        <f>Scommesse!$C$91</f>
        <v/>
      </c>
      <c r="AF13" s="20">
        <f>Scommesse!$D$91&amp;" / "&amp;Scommesse!$E$91</f>
        <v/>
      </c>
      <c r="AG13" s="21">
        <f>Scommesse!$F$91</f>
        <v/>
      </c>
      <c r="AH13" s="22">
        <f>IF(Scommesse!$S$91&gt;0,"✔","")</f>
        <v/>
      </c>
      <c r="AI13">
        <f>Calcoli!$I$53</f>
        <v/>
      </c>
      <c r="AK13" s="19">
        <f>Scommesse!$C$108</f>
        <v/>
      </c>
      <c r="AL13" s="20">
        <f>Scommesse!$D$108&amp;" / "&amp;Scommesse!$E$108</f>
        <v/>
      </c>
      <c r="AM13" s="21">
        <f>Scommesse!$F$108</f>
        <v/>
      </c>
      <c r="AN13" s="22">
        <f>IF(Scommesse!$S$108&gt;0,"✔","")</f>
        <v/>
      </c>
      <c r="AO13">
        <f>Calcoli!$I$63</f>
        <v/>
      </c>
      <c r="AQ13" s="19">
        <f>Scommesse!$C$125</f>
        <v/>
      </c>
      <c r="AR13" s="20">
        <f>Scommesse!$D$125&amp;" / "&amp;Scommesse!$E$125</f>
        <v/>
      </c>
      <c r="AS13" s="21">
        <f>Scommesse!$F$125</f>
        <v/>
      </c>
      <c r="AT13" s="22">
        <f>IF(Scommesse!$S$125&gt;0,"✔","")</f>
        <v/>
      </c>
      <c r="AU13">
        <f>Calcoli!$I$73</f>
        <v/>
      </c>
      <c r="AW13" s="19">
        <f>Scommesse!$C$142</f>
        <v/>
      </c>
      <c r="AX13" s="20">
        <f>Scommesse!$D$142&amp;" / "&amp;Scommesse!$E$142</f>
        <v/>
      </c>
      <c r="AY13" s="21">
        <f>Scommesse!$F$142</f>
        <v/>
      </c>
      <c r="AZ13" s="22">
        <f>IF(Scommesse!$S$142&gt;0,"✔","")</f>
        <v/>
      </c>
      <c r="BA13">
        <f>Calcoli!$I$83</f>
        <v/>
      </c>
    </row>
    <row r="14">
      <c r="A14" s="7">
        <f>Scommesse!$C$10</f>
        <v/>
      </c>
      <c r="B14" s="8">
        <f>Scommesse!$D$10&amp;" / "&amp;Scommesse!$E$10</f>
        <v/>
      </c>
      <c r="C14" s="9">
        <f>Scommesse!$F$10</f>
        <v/>
      </c>
      <c r="D14" s="10">
        <f>IF(Scommesse!$S$10&gt;0,"✔","")</f>
        <v/>
      </c>
      <c r="E14">
        <f>Calcoli!$I$8</f>
        <v/>
      </c>
      <c r="G14" s="7">
        <f>Scommesse!$C$27</f>
        <v/>
      </c>
      <c r="H14" s="8">
        <f>Scommesse!$D$27&amp;" / "&amp;Scommesse!$E$27</f>
        <v/>
      </c>
      <c r="I14" s="9">
        <f>Scommesse!$F$27</f>
        <v/>
      </c>
      <c r="J14" s="10">
        <f>IF(Scommesse!$S$27&gt;0,"✔","")</f>
        <v/>
      </c>
      <c r="K14">
        <f>Calcoli!$I$18</f>
        <v/>
      </c>
      <c r="M14" s="7">
        <f>Scommesse!$C$44</f>
        <v/>
      </c>
      <c r="N14" s="8">
        <f>Scommesse!$D$44&amp;" / "&amp;Scommesse!$E$44</f>
        <v/>
      </c>
      <c r="O14" s="9">
        <f>Scommesse!$F$44</f>
        <v/>
      </c>
      <c r="P14" s="10">
        <f>IF(Scommesse!$S$44&gt;0,"✔","")</f>
        <v/>
      </c>
      <c r="Q14">
        <f>Calcoli!$I$28</f>
        <v/>
      </c>
      <c r="S14" s="7">
        <f>Scommesse!$C$59</f>
        <v/>
      </c>
      <c r="T14" s="8">
        <f>Scommesse!$D$59&amp;" / "&amp;Scommesse!$E$59</f>
        <v/>
      </c>
      <c r="U14" s="9">
        <f>Scommesse!$F$59</f>
        <v/>
      </c>
      <c r="V14" s="10">
        <f>IF(Scommesse!$S$59&gt;0,"✔","")</f>
        <v/>
      </c>
      <c r="W14">
        <f>Calcoli!$I$38</f>
        <v/>
      </c>
      <c r="Y14" s="7">
        <f>Scommesse!$C$75</f>
        <v/>
      </c>
      <c r="Z14" s="8">
        <f>Scommesse!$D$75&amp;" / "&amp;Scommesse!$E$75</f>
        <v/>
      </c>
      <c r="AA14" s="9">
        <f>Scommesse!$F$75</f>
        <v/>
      </c>
      <c r="AB14" s="10">
        <f>IF(Scommesse!$S$75&gt;0,"✔","")</f>
        <v/>
      </c>
      <c r="AC14">
        <f>Calcoli!$I$48</f>
        <v/>
      </c>
      <c r="AE14" s="7">
        <f>Scommesse!$C$92</f>
        <v/>
      </c>
      <c r="AF14" s="8">
        <f>Scommesse!$D$92&amp;" / "&amp;Scommesse!$E$92</f>
        <v/>
      </c>
      <c r="AG14" s="9">
        <f>Scommesse!$F$92</f>
        <v/>
      </c>
      <c r="AH14" s="10">
        <f>IF(Scommesse!$S$92&gt;0,"✔","")</f>
        <v/>
      </c>
      <c r="AI14">
        <f>Calcoli!$I$58</f>
        <v/>
      </c>
      <c r="AK14" s="7">
        <f>Scommesse!$C$109</f>
        <v/>
      </c>
      <c r="AL14" s="8">
        <f>Scommesse!$D$109&amp;" / "&amp;Scommesse!$E$109</f>
        <v/>
      </c>
      <c r="AM14" s="9">
        <f>Scommesse!$F$109</f>
        <v/>
      </c>
      <c r="AN14" s="10">
        <f>IF(Scommesse!$S$109&gt;0,"✔","")</f>
        <v/>
      </c>
      <c r="AO14">
        <f>Calcoli!$I$68</f>
        <v/>
      </c>
      <c r="AQ14" s="7">
        <f>Scommesse!$C$126</f>
        <v/>
      </c>
      <c r="AR14" s="8">
        <f>Scommesse!$D$126&amp;" / "&amp;Scommesse!$E$126</f>
        <v/>
      </c>
      <c r="AS14" s="9">
        <f>Scommesse!$F$126</f>
        <v/>
      </c>
      <c r="AT14" s="10">
        <f>IF(Scommesse!$S$126&gt;0,"✔","")</f>
        <v/>
      </c>
      <c r="AU14">
        <f>Calcoli!$I$78</f>
        <v/>
      </c>
      <c r="AW14" s="7">
        <f>Scommesse!$C$143</f>
        <v/>
      </c>
      <c r="AX14" s="8">
        <f>Scommesse!$D$143&amp;" / "&amp;Scommesse!$E$143</f>
        <v/>
      </c>
      <c r="AY14" s="9">
        <f>Scommesse!$F$143</f>
        <v/>
      </c>
      <c r="AZ14" s="10">
        <f>IF(Scommesse!$S$143&gt;0,"✔","")</f>
        <v/>
      </c>
      <c r="BA14">
        <f>Calcoli!$I$88</f>
        <v/>
      </c>
    </row>
    <row r="15">
      <c r="A15" s="7">
        <f>Scommesse!$C$11</f>
        <v/>
      </c>
      <c r="B15" s="8">
        <f>Scommesse!$D$11&amp;" / "&amp;Scommesse!$E$11</f>
        <v/>
      </c>
      <c r="C15" s="9">
        <f>Scommesse!$F$11</f>
        <v/>
      </c>
      <c r="D15" s="10">
        <f>IF(Scommesse!$S$11&gt;0,"✔","")</f>
        <v/>
      </c>
      <c r="E15">
        <f>Calcoli!$I$7</f>
        <v/>
      </c>
      <c r="G15" s="7">
        <f>Scommesse!$C$28</f>
        <v/>
      </c>
      <c r="H15" s="8">
        <f>Scommesse!$D$28&amp;" / "&amp;Scommesse!$E$28</f>
        <v/>
      </c>
      <c r="I15" s="9">
        <f>Scommesse!$F$28</f>
        <v/>
      </c>
      <c r="J15" s="10">
        <f>IF(Scommesse!$S$28&gt;0,"✔","")</f>
        <v/>
      </c>
      <c r="K15">
        <f>Calcoli!$I$17</f>
        <v/>
      </c>
      <c r="M15" s="7">
        <f>Scommesse!$C$45</f>
        <v/>
      </c>
      <c r="N15" s="8">
        <f>Scommesse!$D$45&amp;" / "&amp;Scommesse!$E$45</f>
        <v/>
      </c>
      <c r="O15" s="9">
        <f>Scommesse!$F$45</f>
        <v/>
      </c>
      <c r="P15" s="10">
        <f>IF(Scommesse!$S$45&gt;0,"✔","")</f>
        <v/>
      </c>
      <c r="Q15">
        <f>Calcoli!$I$27</f>
        <v/>
      </c>
      <c r="S15" s="7">
        <f>Scommesse!$C$60</f>
        <v/>
      </c>
      <c r="T15" s="8">
        <f>Scommesse!$D$60&amp;" / "&amp;Scommesse!$E$60</f>
        <v/>
      </c>
      <c r="U15" s="9">
        <f>Scommesse!$F$60</f>
        <v/>
      </c>
      <c r="V15" s="10">
        <f>IF(Scommesse!$S$60&gt;0,"✔","")</f>
        <v/>
      </c>
      <c r="W15">
        <f>Calcoli!$I$37</f>
        <v/>
      </c>
      <c r="Y15" s="7">
        <f>Scommesse!$C$76</f>
        <v/>
      </c>
      <c r="Z15" s="8">
        <f>Scommesse!$D$76&amp;" / "&amp;Scommesse!$E$76</f>
        <v/>
      </c>
      <c r="AA15" s="9">
        <f>Scommesse!$F$76</f>
        <v/>
      </c>
      <c r="AB15" s="10">
        <f>IF(Scommesse!$S$76&gt;0,"✔","")</f>
        <v/>
      </c>
      <c r="AC15">
        <f>Calcoli!$I$47</f>
        <v/>
      </c>
      <c r="AE15" s="7">
        <f>Scommesse!$C$93</f>
        <v/>
      </c>
      <c r="AF15" s="8">
        <f>Scommesse!$D$93&amp;" / "&amp;Scommesse!$E$93</f>
        <v/>
      </c>
      <c r="AG15" s="9">
        <f>Scommesse!$F$93</f>
        <v/>
      </c>
      <c r="AH15" s="10">
        <f>IF(Scommesse!$S$93&gt;0,"✔","")</f>
        <v/>
      </c>
      <c r="AI15">
        <f>Calcoli!$I$57</f>
        <v/>
      </c>
      <c r="AK15" s="7">
        <f>Scommesse!$C$110</f>
        <v/>
      </c>
      <c r="AL15" s="8">
        <f>Scommesse!$D$110&amp;" / "&amp;Scommesse!$E$110</f>
        <v/>
      </c>
      <c r="AM15" s="9">
        <f>Scommesse!$F$110</f>
        <v/>
      </c>
      <c r="AN15" s="10">
        <f>IF(Scommesse!$S$110&gt;0,"✔","")</f>
        <v/>
      </c>
      <c r="AO15">
        <f>Calcoli!$I$67</f>
        <v/>
      </c>
      <c r="AQ15" s="7">
        <f>Scommesse!$C$127</f>
        <v/>
      </c>
      <c r="AR15" s="8">
        <f>Scommesse!$D$127&amp;" / "&amp;Scommesse!$E$127</f>
        <v/>
      </c>
      <c r="AS15" s="9">
        <f>Scommesse!$F$127</f>
        <v/>
      </c>
      <c r="AT15" s="10">
        <f>IF(Scommesse!$S$127&gt;0,"✔","")</f>
        <v/>
      </c>
      <c r="AU15">
        <f>Calcoli!$I$77</f>
        <v/>
      </c>
      <c r="AW15" s="7">
        <f>Scommesse!$C$144</f>
        <v/>
      </c>
      <c r="AX15" s="8">
        <f>Scommesse!$D$144&amp;" / "&amp;Scommesse!$E$144</f>
        <v/>
      </c>
      <c r="AY15" s="9">
        <f>Scommesse!$F$144</f>
        <v/>
      </c>
      <c r="AZ15" s="10">
        <f>IF(Scommesse!$S$144&gt;0,"✔","")</f>
        <v/>
      </c>
      <c r="BA15">
        <f>Calcoli!$I$87</f>
        <v/>
      </c>
    </row>
    <row r="16">
      <c r="A16" s="11">
        <f>Scommesse!$C$12</f>
        <v/>
      </c>
      <c r="B16" s="12">
        <f>Scommesse!$D$12&amp;" / "&amp;Scommesse!$E$12</f>
        <v/>
      </c>
      <c r="C16" s="13">
        <f>Scommesse!$F$12</f>
        <v/>
      </c>
      <c r="D16" s="14">
        <f>IF(Scommesse!$S$12&gt;0,"✔","")</f>
        <v/>
      </c>
      <c r="E16">
        <f>Calcoli!$I$6</f>
        <v/>
      </c>
      <c r="G16" s="11">
        <f>Scommesse!$C$29</f>
        <v/>
      </c>
      <c r="H16" s="12">
        <f>Scommesse!$D$29&amp;" / "&amp;Scommesse!$E$29</f>
        <v/>
      </c>
      <c r="I16" s="13">
        <f>Scommesse!$F$29</f>
        <v/>
      </c>
      <c r="J16" s="14">
        <f>IF(Scommesse!$S$29&gt;0,"✔","")</f>
        <v/>
      </c>
      <c r="K16">
        <f>Calcoli!$I$16</f>
        <v/>
      </c>
      <c r="M16" s="7">
        <f>Scommesse!$C$46</f>
        <v/>
      </c>
      <c r="N16" s="8">
        <f>Scommesse!$D$46&amp;" / "&amp;Scommesse!$E$46</f>
        <v/>
      </c>
      <c r="O16" s="9">
        <f>Scommesse!$F$46</f>
        <v/>
      </c>
      <c r="P16" s="10">
        <f>IF(Scommesse!$S$46&gt;0,"✔","")</f>
        <v/>
      </c>
      <c r="Q16">
        <f>Calcoli!$I$26</f>
        <v/>
      </c>
      <c r="S16" s="11">
        <f>Scommesse!$C$61</f>
        <v/>
      </c>
      <c r="T16" s="12">
        <f>Scommesse!$D$61&amp;" / "&amp;Scommesse!$E$61</f>
        <v/>
      </c>
      <c r="U16" s="13">
        <f>Scommesse!$F$61</f>
        <v/>
      </c>
      <c r="V16" s="14">
        <f>IF(Scommesse!$S$61&gt;0,"✔","")</f>
        <v/>
      </c>
      <c r="W16">
        <f>Calcoli!$I$36</f>
        <v/>
      </c>
      <c r="Y16" s="11">
        <f>Scommesse!$C$77</f>
        <v/>
      </c>
      <c r="Z16" s="12">
        <f>Scommesse!$D$77&amp;" / "&amp;Scommesse!$E$77</f>
        <v/>
      </c>
      <c r="AA16" s="13">
        <f>Scommesse!$F$77</f>
        <v/>
      </c>
      <c r="AB16" s="14">
        <f>IF(Scommesse!$S$77&gt;0,"✔","")</f>
        <v/>
      </c>
      <c r="AC16">
        <f>Calcoli!$I$46</f>
        <v/>
      </c>
      <c r="AE16" s="11">
        <f>Scommesse!$C$94</f>
        <v/>
      </c>
      <c r="AF16" s="12">
        <f>Scommesse!$D$94&amp;" / "&amp;Scommesse!$E$94</f>
        <v/>
      </c>
      <c r="AG16" s="13">
        <f>Scommesse!$F$94</f>
        <v/>
      </c>
      <c r="AH16" s="14">
        <f>IF(Scommesse!$S$94&gt;0,"✔","")</f>
        <v/>
      </c>
      <c r="AI16">
        <f>Calcoli!$I$56</f>
        <v/>
      </c>
      <c r="AK16" s="11">
        <f>Scommesse!$C$111</f>
        <v/>
      </c>
      <c r="AL16" s="12">
        <f>Scommesse!$D$111&amp;" / "&amp;Scommesse!$E$111</f>
        <v/>
      </c>
      <c r="AM16" s="13">
        <f>Scommesse!$F$111</f>
        <v/>
      </c>
      <c r="AN16" s="14">
        <f>IF(Scommesse!$S$111&gt;0,"✔","")</f>
        <v/>
      </c>
      <c r="AO16">
        <f>Calcoli!$I$66</f>
        <v/>
      </c>
      <c r="AQ16" s="11">
        <f>Scommesse!$C$128</f>
        <v/>
      </c>
      <c r="AR16" s="12">
        <f>Scommesse!$D$128&amp;" / "&amp;Scommesse!$E$128</f>
        <v/>
      </c>
      <c r="AS16" s="13">
        <f>Scommesse!$F$128</f>
        <v/>
      </c>
      <c r="AT16" s="14">
        <f>IF(Scommesse!$S$128&gt;0,"✔","")</f>
        <v/>
      </c>
      <c r="AU16">
        <f>Calcoli!$I$76</f>
        <v/>
      </c>
      <c r="AW16" s="11">
        <f>Scommesse!$C$145</f>
        <v/>
      </c>
      <c r="AX16" s="12">
        <f>Scommesse!$D$145&amp;" / "&amp;Scommesse!$E$145</f>
        <v/>
      </c>
      <c r="AY16" s="13">
        <f>Scommesse!$F$145</f>
        <v/>
      </c>
      <c r="AZ16" s="14">
        <f>IF(Scommesse!$S$145&gt;0,"✔","")</f>
        <v/>
      </c>
      <c r="BA16">
        <f>Calcoli!$I$86</f>
        <v/>
      </c>
    </row>
    <row r="17">
      <c r="A17" s="15">
        <f>Scommesse!$C$13</f>
        <v/>
      </c>
      <c r="B17" s="16">
        <f>Scommesse!$D$13&amp;" / "&amp;Scommesse!$E$13</f>
        <v/>
      </c>
      <c r="C17" s="17">
        <f>Scommesse!$F$13</f>
        <v/>
      </c>
      <c r="D17" s="18">
        <f>IF(Scommesse!$S$13&gt;0,"✔","")</f>
        <v/>
      </c>
      <c r="E17">
        <f>Calcoli!$I$6</f>
        <v/>
      </c>
      <c r="G17" s="15">
        <f>Scommesse!$C$30</f>
        <v/>
      </c>
      <c r="H17" s="16">
        <f>Scommesse!$D$30&amp;" / "&amp;Scommesse!$E$30</f>
        <v/>
      </c>
      <c r="I17" s="17">
        <f>Scommesse!$F$30</f>
        <v/>
      </c>
      <c r="J17" s="18">
        <f>IF(Scommesse!$S$30&gt;0,"✔","")</f>
        <v/>
      </c>
      <c r="K17">
        <f>Calcoli!$I$16</f>
        <v/>
      </c>
      <c r="M17" s="7">
        <f>Scommesse!$C$47</f>
        <v/>
      </c>
      <c r="N17" s="8">
        <f>Scommesse!$D$47&amp;" / "&amp;Scommesse!$E$47</f>
        <v/>
      </c>
      <c r="O17" s="9">
        <f>Scommesse!$F$47</f>
        <v/>
      </c>
      <c r="P17" s="10">
        <f>IF(Scommesse!$S$47&gt;0,"✔","")</f>
        <v/>
      </c>
      <c r="Q17">
        <f>Calcoli!$I$31</f>
        <v/>
      </c>
      <c r="S17" s="19">
        <f>Scommesse!$C$62</f>
        <v/>
      </c>
      <c r="T17" s="20">
        <f>Scommesse!$D$62&amp;" / "&amp;Scommesse!$E$62</f>
        <v/>
      </c>
      <c r="U17" s="21">
        <f>Scommesse!$F$62</f>
        <v/>
      </c>
      <c r="V17" s="22">
        <f>IF(Scommesse!$S$62&gt;0,"✔","")</f>
        <v/>
      </c>
      <c r="W17">
        <f>Calcoli!$I$36</f>
        <v/>
      </c>
      <c r="Y17" s="15">
        <f>Scommesse!$C$78</f>
        <v/>
      </c>
      <c r="Z17" s="16">
        <f>Scommesse!$D$78&amp;" / "&amp;Scommesse!$E$78</f>
        <v/>
      </c>
      <c r="AA17" s="17">
        <f>Scommesse!$F$78</f>
        <v/>
      </c>
      <c r="AB17" s="18">
        <f>IF(Scommesse!$S$78&gt;0,"✔","")</f>
        <v/>
      </c>
      <c r="AC17">
        <f>Calcoli!$I$46</f>
        <v/>
      </c>
      <c r="AE17" s="15">
        <f>Scommesse!$C$95</f>
        <v/>
      </c>
      <c r="AF17" s="16">
        <f>Scommesse!$D$95&amp;" / "&amp;Scommesse!$E$95</f>
        <v/>
      </c>
      <c r="AG17" s="17">
        <f>Scommesse!$F$95</f>
        <v/>
      </c>
      <c r="AH17" s="18">
        <f>IF(Scommesse!$S$95&gt;0,"✔","")</f>
        <v/>
      </c>
      <c r="AI17">
        <f>Calcoli!$I$56</f>
        <v/>
      </c>
      <c r="AK17" s="15">
        <f>Scommesse!$C$112</f>
        <v/>
      </c>
      <c r="AL17" s="16">
        <f>Scommesse!$D$112&amp;" / "&amp;Scommesse!$E$112</f>
        <v/>
      </c>
      <c r="AM17" s="17">
        <f>Scommesse!$F$112</f>
        <v/>
      </c>
      <c r="AN17" s="18">
        <f>IF(Scommesse!$S$112&gt;0,"✔","")</f>
        <v/>
      </c>
      <c r="AO17">
        <f>Calcoli!$I$66</f>
        <v/>
      </c>
      <c r="AQ17" s="15">
        <f>Scommesse!$C$129</f>
        <v/>
      </c>
      <c r="AR17" s="16">
        <f>Scommesse!$D$129&amp;" / "&amp;Scommesse!$E$129</f>
        <v/>
      </c>
      <c r="AS17" s="17">
        <f>Scommesse!$F$129</f>
        <v/>
      </c>
      <c r="AT17" s="18">
        <f>IF(Scommesse!$S$129&gt;0,"✔","")</f>
        <v/>
      </c>
      <c r="AU17">
        <f>Calcoli!$I$76</f>
        <v/>
      </c>
      <c r="AW17" s="15">
        <f>Scommesse!$C$146</f>
        <v/>
      </c>
      <c r="AX17" s="16">
        <f>Scommesse!$D$146&amp;" / "&amp;Scommesse!$E$146</f>
        <v/>
      </c>
      <c r="AY17" s="17">
        <f>Scommesse!$F$146</f>
        <v/>
      </c>
      <c r="AZ17" s="18">
        <f>IF(Scommesse!$S$146&gt;0,"✔","")</f>
        <v/>
      </c>
      <c r="BA17">
        <f>Calcoli!$I$86</f>
        <v/>
      </c>
    </row>
    <row r="18">
      <c r="A18" s="19">
        <f>Scommesse!$C$14</f>
        <v/>
      </c>
      <c r="B18" s="20">
        <f>Scommesse!$D$14&amp;" / "&amp;Scommesse!$E$14</f>
        <v/>
      </c>
      <c r="C18" s="21">
        <f>Scommesse!$F$14</f>
        <v/>
      </c>
      <c r="D18" s="22">
        <f>IF(Scommesse!$S$14&gt;0,"✔","")</f>
        <v/>
      </c>
      <c r="E18">
        <f>Calcoli!$I$6</f>
        <v/>
      </c>
      <c r="G18" s="19">
        <f>Scommesse!$C$31</f>
        <v/>
      </c>
      <c r="H18" s="20">
        <f>Scommesse!$D$31&amp;" / "&amp;Scommesse!$E$31</f>
        <v/>
      </c>
      <c r="I18" s="21">
        <f>Scommesse!$F$31</f>
        <v/>
      </c>
      <c r="J18" s="22">
        <f>IF(Scommesse!$S$31&gt;0,"✔","")</f>
        <v/>
      </c>
      <c r="K18">
        <f>Calcoli!$I$16</f>
        <v/>
      </c>
      <c r="M18" s="11">
        <f>Scommesse!$C$48</f>
        <v/>
      </c>
      <c r="N18" s="12">
        <f>Scommesse!$D$48&amp;" / "&amp;Scommesse!$E$48</f>
        <v/>
      </c>
      <c r="O18" s="13">
        <f>Scommesse!$F$48</f>
        <v/>
      </c>
      <c r="P18" s="14">
        <f>IF(Scommesse!$S$48&gt;0,"✔","")</f>
        <v/>
      </c>
      <c r="Q18">
        <f>Calcoli!$I$30</f>
        <v/>
      </c>
      <c r="S18" s="7">
        <f>Scommesse!$C$63</f>
        <v/>
      </c>
      <c r="T18" s="8">
        <f>Scommesse!$D$63&amp;" / "&amp;Scommesse!$E$63</f>
        <v/>
      </c>
      <c r="U18" s="9">
        <f>Scommesse!$F$63</f>
        <v/>
      </c>
      <c r="V18" s="10">
        <f>IF(Scommesse!$S$63&gt;0,"✔","")</f>
        <v/>
      </c>
      <c r="W18">
        <f>Calcoli!$I$41</f>
        <v/>
      </c>
      <c r="Y18" s="19">
        <f>Scommesse!$C$79</f>
        <v/>
      </c>
      <c r="Z18" s="20">
        <f>Scommesse!$D$79&amp;" / "&amp;Scommesse!$E$79</f>
        <v/>
      </c>
      <c r="AA18" s="21">
        <f>Scommesse!$F$79</f>
        <v/>
      </c>
      <c r="AB18" s="22">
        <f>IF(Scommesse!$S$79&gt;0,"✔","")</f>
        <v/>
      </c>
      <c r="AC18">
        <f>Calcoli!$I$46</f>
        <v/>
      </c>
      <c r="AE18" s="19">
        <f>Scommesse!$C$96</f>
        <v/>
      </c>
      <c r="AF18" s="20">
        <f>Scommesse!$D$96&amp;" / "&amp;Scommesse!$E$96</f>
        <v/>
      </c>
      <c r="AG18" s="21">
        <f>Scommesse!$F$96</f>
        <v/>
      </c>
      <c r="AH18" s="22">
        <f>IF(Scommesse!$S$96&gt;0,"✔","")</f>
        <v/>
      </c>
      <c r="AI18">
        <f>Calcoli!$I$56</f>
        <v/>
      </c>
      <c r="AK18" s="19">
        <f>Scommesse!$C$113</f>
        <v/>
      </c>
      <c r="AL18" s="20">
        <f>Scommesse!$D$113&amp;" / "&amp;Scommesse!$E$113</f>
        <v/>
      </c>
      <c r="AM18" s="21">
        <f>Scommesse!$F$113</f>
        <v/>
      </c>
      <c r="AN18" s="22">
        <f>IF(Scommesse!$S$113&gt;0,"✔","")</f>
        <v/>
      </c>
      <c r="AO18">
        <f>Calcoli!$I$66</f>
        <v/>
      </c>
      <c r="AQ18" s="19">
        <f>Scommesse!$C$130</f>
        <v/>
      </c>
      <c r="AR18" s="20">
        <f>Scommesse!$D$130&amp;" / "&amp;Scommesse!$E$130</f>
        <v/>
      </c>
      <c r="AS18" s="21">
        <f>Scommesse!$F$130</f>
        <v/>
      </c>
      <c r="AT18" s="22">
        <f>IF(Scommesse!$S$130&gt;0,"✔","")</f>
        <v/>
      </c>
      <c r="AU18">
        <f>Calcoli!$I$76</f>
        <v/>
      </c>
      <c r="AW18" s="19">
        <f>Scommesse!$C$147</f>
        <v/>
      </c>
      <c r="AX18" s="20">
        <f>Scommesse!$D$147&amp;" / "&amp;Scommesse!$E$147</f>
        <v/>
      </c>
      <c r="AY18" s="21">
        <f>Scommesse!$F$147</f>
        <v/>
      </c>
      <c r="AZ18" s="22">
        <f>IF(Scommesse!$S$147&gt;0,"✔","")</f>
        <v/>
      </c>
      <c r="BA18">
        <f>Calcoli!$I$86</f>
        <v/>
      </c>
    </row>
    <row r="19">
      <c r="A19" s="7">
        <f>Scommesse!$C$15</f>
        <v/>
      </c>
      <c r="B19" s="8">
        <f>Scommesse!$D$15&amp;" / "&amp;Scommesse!$E$15</f>
        <v/>
      </c>
      <c r="C19" s="9">
        <f>Scommesse!$F$15</f>
        <v/>
      </c>
      <c r="D19" s="10">
        <f>IF(Scommesse!$S$15&gt;0,"✔","")</f>
        <v/>
      </c>
      <c r="E19">
        <f>Calcoli!$I$11</f>
        <v/>
      </c>
      <c r="G19" s="7">
        <f>Scommesse!$C$32</f>
        <v/>
      </c>
      <c r="H19" s="8">
        <f>Scommesse!$D$32&amp;" / "&amp;Scommesse!$E$32</f>
        <v/>
      </c>
      <c r="I19" s="9">
        <f>Scommesse!$F$32</f>
        <v/>
      </c>
      <c r="J19" s="10">
        <f>IF(Scommesse!$S$32&gt;0,"✔","")</f>
        <v/>
      </c>
      <c r="K19">
        <f>Calcoli!$I$21</f>
        <v/>
      </c>
      <c r="M19" s="19">
        <f>Scommesse!$C$49</f>
        <v/>
      </c>
      <c r="N19" s="20">
        <f>Scommesse!$D$49&amp;" / "&amp;Scommesse!$E$49</f>
        <v/>
      </c>
      <c r="O19" s="21">
        <f>Scommesse!$F$49</f>
        <v/>
      </c>
      <c r="P19" s="22">
        <f>IF(Scommesse!$S$49&gt;0,"✔","")</f>
        <v/>
      </c>
      <c r="Q19">
        <f>Calcoli!$I$30</f>
        <v/>
      </c>
      <c r="S19" s="11">
        <f>Scommesse!$C$64</f>
        <v/>
      </c>
      <c r="T19" s="12">
        <f>Scommesse!$D$64&amp;" / "&amp;Scommesse!$E$64</f>
        <v/>
      </c>
      <c r="U19" s="13">
        <f>Scommesse!$F$64</f>
        <v/>
      </c>
      <c r="V19" s="14">
        <f>IF(Scommesse!$S$64&gt;0,"✔","")</f>
        <v/>
      </c>
      <c r="W19">
        <f>Calcoli!$I$40</f>
        <v/>
      </c>
      <c r="Y19" s="7">
        <f>Scommesse!$C$80</f>
        <v/>
      </c>
      <c r="Z19" s="8">
        <f>Scommesse!$D$80&amp;" / "&amp;Scommesse!$E$80</f>
        <v/>
      </c>
      <c r="AA19" s="9">
        <f>Scommesse!$F$80</f>
        <v/>
      </c>
      <c r="AB19" s="10">
        <f>IF(Scommesse!$S$80&gt;0,"✔","")</f>
        <v/>
      </c>
      <c r="AC19">
        <f>Calcoli!$I$51</f>
        <v/>
      </c>
      <c r="AE19" s="7">
        <f>Scommesse!$C$97</f>
        <v/>
      </c>
      <c r="AF19" s="8">
        <f>Scommesse!$D$97&amp;" / "&amp;Scommesse!$E$97</f>
        <v/>
      </c>
      <c r="AG19" s="9">
        <f>Scommesse!$F$97</f>
        <v/>
      </c>
      <c r="AH19" s="10">
        <f>IF(Scommesse!$S$97&gt;0,"✔","")</f>
        <v/>
      </c>
      <c r="AI19">
        <f>Calcoli!$I$61</f>
        <v/>
      </c>
      <c r="AK19" s="7">
        <f>Scommesse!$C$114</f>
        <v/>
      </c>
      <c r="AL19" s="8">
        <f>Scommesse!$D$114&amp;" / "&amp;Scommesse!$E$114</f>
        <v/>
      </c>
      <c r="AM19" s="9">
        <f>Scommesse!$F$114</f>
        <v/>
      </c>
      <c r="AN19" s="10">
        <f>IF(Scommesse!$S$114&gt;0,"✔","")</f>
        <v/>
      </c>
      <c r="AO19">
        <f>Calcoli!$I$71</f>
        <v/>
      </c>
      <c r="AQ19" s="7">
        <f>Scommesse!$C$131</f>
        <v/>
      </c>
      <c r="AR19" s="8">
        <f>Scommesse!$D$131&amp;" / "&amp;Scommesse!$E$131</f>
        <v/>
      </c>
      <c r="AS19" s="9">
        <f>Scommesse!$F$131</f>
        <v/>
      </c>
      <c r="AT19" s="10">
        <f>IF(Scommesse!$S$131&gt;0,"✔","")</f>
        <v/>
      </c>
      <c r="AU19">
        <f>Calcoli!$I$81</f>
        <v/>
      </c>
      <c r="AW19" s="7">
        <f>Scommesse!$C$148</f>
        <v/>
      </c>
      <c r="AX19" s="8">
        <f>Scommesse!$D$148&amp;" / "&amp;Scommesse!$E$148</f>
        <v/>
      </c>
      <c r="AY19" s="9">
        <f>Scommesse!$F$148</f>
        <v/>
      </c>
      <c r="AZ19" s="10">
        <f>IF(Scommesse!$S$148&gt;0,"✔","")</f>
        <v/>
      </c>
      <c r="BA19">
        <f>Calcoli!$I$91</f>
        <v/>
      </c>
    </row>
    <row r="20">
      <c r="A20" s="11">
        <f>Scommesse!$C$16</f>
        <v/>
      </c>
      <c r="B20" s="12">
        <f>Scommesse!$D$16&amp;" / "&amp;Scommesse!$E$16</f>
        <v/>
      </c>
      <c r="C20" s="13">
        <f>Scommesse!$F$16</f>
        <v/>
      </c>
      <c r="D20" s="14">
        <f>IF(Scommesse!$S$16&gt;0,"✔","")</f>
        <v/>
      </c>
      <c r="E20">
        <f>Calcoli!$I$10</f>
        <v/>
      </c>
      <c r="G20" s="11">
        <f>Scommesse!$C$33</f>
        <v/>
      </c>
      <c r="H20" s="12">
        <f>Scommesse!$D$33&amp;" / "&amp;Scommesse!$E$33</f>
        <v/>
      </c>
      <c r="I20" s="13">
        <f>Scommesse!$F$33</f>
        <v/>
      </c>
      <c r="J20" s="14">
        <f>IF(Scommesse!$S$33&gt;0,"✔","")</f>
        <v/>
      </c>
      <c r="K20">
        <f>Calcoli!$I$20</f>
        <v/>
      </c>
      <c r="M20" s="7">
        <f>Scommesse!$C$50</f>
        <v/>
      </c>
      <c r="N20" s="8">
        <f>Scommesse!$D$50&amp;" / "&amp;Scommesse!$E$50</f>
        <v/>
      </c>
      <c r="O20" s="9">
        <f>Scommesse!$F$50</f>
        <v/>
      </c>
      <c r="P20" s="10">
        <f>IF(Scommesse!$S$50&gt;0,"✔","")</f>
        <v/>
      </c>
      <c r="Q20">
        <f>Calcoli!$I$29</f>
        <v/>
      </c>
      <c r="S20" s="19">
        <f>Scommesse!$C$65</f>
        <v/>
      </c>
      <c r="T20" s="20">
        <f>Scommesse!$D$65&amp;" / "&amp;Scommesse!$E$65</f>
        <v/>
      </c>
      <c r="U20" s="21">
        <f>Scommesse!$F$65</f>
        <v/>
      </c>
      <c r="V20" s="22">
        <f>IF(Scommesse!$S$65&gt;0,"✔","")</f>
        <v/>
      </c>
      <c r="W20">
        <f>Calcoli!$I$40</f>
        <v/>
      </c>
      <c r="Y20" s="11">
        <f>Scommesse!$C$81</f>
        <v/>
      </c>
      <c r="Z20" s="12">
        <f>Scommesse!$D$81&amp;" / "&amp;Scommesse!$E$81</f>
        <v/>
      </c>
      <c r="AA20" s="13">
        <f>Scommesse!$F$81</f>
        <v/>
      </c>
      <c r="AB20" s="14">
        <f>IF(Scommesse!$S$81&gt;0,"✔","")</f>
        <v/>
      </c>
      <c r="AC20">
        <f>Calcoli!$I$50</f>
        <v/>
      </c>
      <c r="AE20" s="11">
        <f>Scommesse!$C$98</f>
        <v/>
      </c>
      <c r="AF20" s="12">
        <f>Scommesse!$D$98&amp;" / "&amp;Scommesse!$E$98</f>
        <v/>
      </c>
      <c r="AG20" s="13">
        <f>Scommesse!$F$98</f>
        <v/>
      </c>
      <c r="AH20" s="14">
        <f>IF(Scommesse!$S$98&gt;0,"✔","")</f>
        <v/>
      </c>
      <c r="AI20">
        <f>Calcoli!$I$60</f>
        <v/>
      </c>
      <c r="AK20" s="11">
        <f>Scommesse!$C$115</f>
        <v/>
      </c>
      <c r="AL20" s="12">
        <f>Scommesse!$D$115&amp;" / "&amp;Scommesse!$E$115</f>
        <v/>
      </c>
      <c r="AM20" s="13">
        <f>Scommesse!$F$115</f>
        <v/>
      </c>
      <c r="AN20" s="14">
        <f>IF(Scommesse!$S$115&gt;0,"✔","")</f>
        <v/>
      </c>
      <c r="AO20">
        <f>Calcoli!$I$70</f>
        <v/>
      </c>
      <c r="AQ20" s="11">
        <f>Scommesse!$C$132</f>
        <v/>
      </c>
      <c r="AR20" s="12">
        <f>Scommesse!$D$132&amp;" / "&amp;Scommesse!$E$132</f>
        <v/>
      </c>
      <c r="AS20" s="13">
        <f>Scommesse!$F$132</f>
        <v/>
      </c>
      <c r="AT20" s="14">
        <f>IF(Scommesse!$S$132&gt;0,"✔","")</f>
        <v/>
      </c>
      <c r="AU20">
        <f>Calcoli!$I$80</f>
        <v/>
      </c>
      <c r="AW20" s="11">
        <f>Scommesse!$C$149</f>
        <v/>
      </c>
      <c r="AX20" s="12">
        <f>Scommesse!$D$149&amp;" / "&amp;Scommesse!$E$149</f>
        <v/>
      </c>
      <c r="AY20" s="13">
        <f>Scommesse!$F$149</f>
        <v/>
      </c>
      <c r="AZ20" s="14">
        <f>IF(Scommesse!$S$149&gt;0,"✔","")</f>
        <v/>
      </c>
      <c r="BA20">
        <f>Calcoli!$I$90</f>
        <v/>
      </c>
    </row>
    <row r="21">
      <c r="A21" s="19">
        <f>Scommesse!$C$17</f>
        <v/>
      </c>
      <c r="B21" s="20">
        <f>Scommesse!$D$17&amp;" / "&amp;Scommesse!$E$17</f>
        <v/>
      </c>
      <c r="C21" s="21">
        <f>Scommesse!$F$17</f>
        <v/>
      </c>
      <c r="D21" s="22">
        <f>IF(Scommesse!$S$17&gt;0,"✔","")</f>
        <v/>
      </c>
      <c r="E21">
        <f>Calcoli!$I$10</f>
        <v/>
      </c>
      <c r="G21" s="19">
        <f>Scommesse!$C$34</f>
        <v/>
      </c>
      <c r="H21" s="20">
        <f>Scommesse!$D$34&amp;" / "&amp;Scommesse!$E$34</f>
        <v/>
      </c>
      <c r="I21" s="21">
        <f>Scommesse!$F$34</f>
        <v/>
      </c>
      <c r="J21" s="22">
        <f>IF(Scommesse!$S$34&gt;0,"✔","")</f>
        <v/>
      </c>
      <c r="K21">
        <f>Calcoli!$I$20</f>
        <v/>
      </c>
      <c r="M21" s="23" t="n"/>
      <c r="N21" s="16" t="n"/>
      <c r="O21" s="23" t="n"/>
      <c r="P21" s="23" t="n"/>
      <c r="S21" s="7">
        <f>Scommesse!$C$66</f>
        <v/>
      </c>
      <c r="T21" s="8">
        <f>Scommesse!$D$66&amp;" / "&amp;Scommesse!$E$66</f>
        <v/>
      </c>
      <c r="U21" s="9">
        <f>Scommesse!$F$66</f>
        <v/>
      </c>
      <c r="V21" s="10">
        <f>IF(Scommesse!$S$66&gt;0,"✔","")</f>
        <v/>
      </c>
      <c r="W21">
        <f>Calcoli!$I$39</f>
        <v/>
      </c>
      <c r="Y21" s="19">
        <f>Scommesse!$C$82</f>
        <v/>
      </c>
      <c r="Z21" s="20">
        <f>Scommesse!$D$82&amp;" / "&amp;Scommesse!$E$82</f>
        <v/>
      </c>
      <c r="AA21" s="21">
        <f>Scommesse!$F$82</f>
        <v/>
      </c>
      <c r="AB21" s="22">
        <f>IF(Scommesse!$S$82&gt;0,"✔","")</f>
        <v/>
      </c>
      <c r="AC21">
        <f>Calcoli!$I$50</f>
        <v/>
      </c>
      <c r="AE21" s="19">
        <f>Scommesse!$C$99</f>
        <v/>
      </c>
      <c r="AF21" s="20">
        <f>Scommesse!$D$99&amp;" / "&amp;Scommesse!$E$99</f>
        <v/>
      </c>
      <c r="AG21" s="21">
        <f>Scommesse!$F$99</f>
        <v/>
      </c>
      <c r="AH21" s="22">
        <f>IF(Scommesse!$S$99&gt;0,"✔","")</f>
        <v/>
      </c>
      <c r="AI21">
        <f>Calcoli!$I$60</f>
        <v/>
      </c>
      <c r="AK21" s="19">
        <f>Scommesse!$C$116</f>
        <v/>
      </c>
      <c r="AL21" s="20">
        <f>Scommesse!$D$116&amp;" / "&amp;Scommesse!$E$116</f>
        <v/>
      </c>
      <c r="AM21" s="21">
        <f>Scommesse!$F$116</f>
        <v/>
      </c>
      <c r="AN21" s="22">
        <f>IF(Scommesse!$S$116&gt;0,"✔","")</f>
        <v/>
      </c>
      <c r="AO21">
        <f>Calcoli!$I$70</f>
        <v/>
      </c>
      <c r="AQ21" s="19">
        <f>Scommesse!$C$133</f>
        <v/>
      </c>
      <c r="AR21" s="20">
        <f>Scommesse!$D$133&amp;" / "&amp;Scommesse!$E$133</f>
        <v/>
      </c>
      <c r="AS21" s="21">
        <f>Scommesse!$F$133</f>
        <v/>
      </c>
      <c r="AT21" s="22">
        <f>IF(Scommesse!$S$133&gt;0,"✔","")</f>
        <v/>
      </c>
      <c r="AU21">
        <f>Calcoli!$I$80</f>
        <v/>
      </c>
      <c r="AW21" s="19">
        <f>Scommesse!$C$150</f>
        <v/>
      </c>
      <c r="AX21" s="20">
        <f>Scommesse!$D$150&amp;" / "&amp;Scommesse!$E$150</f>
        <v/>
      </c>
      <c r="AY21" s="21">
        <f>Scommesse!$F$150</f>
        <v/>
      </c>
      <c r="AZ21" s="22">
        <f>IF(Scommesse!$S$150&gt;0,"✔","")</f>
        <v/>
      </c>
      <c r="BA21">
        <f>Calcoli!$I$90</f>
        <v/>
      </c>
    </row>
    <row r="22">
      <c r="A22" s="7">
        <f>Scommesse!$C$18</f>
        <v/>
      </c>
      <c r="B22" s="8">
        <f>Scommesse!$D$18&amp;" / "&amp;Scommesse!$E$18</f>
        <v/>
      </c>
      <c r="C22" s="9">
        <f>Scommesse!$F$18</f>
        <v/>
      </c>
      <c r="D22" s="10">
        <f>IF(Scommesse!$S$18&gt;0,"✔","")</f>
        <v/>
      </c>
      <c r="E22">
        <f>Calcoli!$I$9</f>
        <v/>
      </c>
      <c r="G22" s="7">
        <f>Scommesse!$C$35</f>
        <v/>
      </c>
      <c r="H22" s="8">
        <f>Scommesse!$D$35&amp;" / "&amp;Scommesse!$E$35</f>
        <v/>
      </c>
      <c r="I22" s="9">
        <f>Scommesse!$F$35</f>
        <v/>
      </c>
      <c r="J22" s="10">
        <f>IF(Scommesse!$S$35&gt;0,"✔","")</f>
        <v/>
      </c>
      <c r="K22">
        <f>Calcoli!$I$19</f>
        <v/>
      </c>
      <c r="M22" s="23" t="n"/>
      <c r="N22" s="16" t="n"/>
      <c r="O22" s="23" t="n"/>
      <c r="P22" s="23" t="n"/>
      <c r="S22" s="23" t="n"/>
      <c r="T22" s="16" t="n"/>
      <c r="U22" s="23" t="n"/>
      <c r="V22" s="23" t="n"/>
      <c r="Y22" s="7">
        <f>Scommesse!$C$83</f>
        <v/>
      </c>
      <c r="Z22" s="8">
        <f>Scommesse!$D$83&amp;" / "&amp;Scommesse!$E$83</f>
        <v/>
      </c>
      <c r="AA22" s="9">
        <f>Scommesse!$F$83</f>
        <v/>
      </c>
      <c r="AB22" s="10">
        <f>IF(Scommesse!$S$83&gt;0,"✔","")</f>
        <v/>
      </c>
      <c r="AC22">
        <f>Calcoli!$I$49</f>
        <v/>
      </c>
      <c r="AE22" s="7">
        <f>Scommesse!$C$100</f>
        <v/>
      </c>
      <c r="AF22" s="8">
        <f>Scommesse!$D$100&amp;" / "&amp;Scommesse!$E$100</f>
        <v/>
      </c>
      <c r="AG22" s="9">
        <f>Scommesse!$F$100</f>
        <v/>
      </c>
      <c r="AH22" s="10">
        <f>IF(Scommesse!$S$100&gt;0,"✔","")</f>
        <v/>
      </c>
      <c r="AI22">
        <f>Calcoli!$I$59</f>
        <v/>
      </c>
      <c r="AK22" s="7">
        <f>Scommesse!$C$117</f>
        <v/>
      </c>
      <c r="AL22" s="8">
        <f>Scommesse!$D$117&amp;" / "&amp;Scommesse!$E$117</f>
        <v/>
      </c>
      <c r="AM22" s="9">
        <f>Scommesse!$F$117</f>
        <v/>
      </c>
      <c r="AN22" s="10">
        <f>IF(Scommesse!$S$117&gt;0,"✔","")</f>
        <v/>
      </c>
      <c r="AO22">
        <f>Calcoli!$I$69</f>
        <v/>
      </c>
      <c r="AQ22" s="7">
        <f>Scommesse!$C$134</f>
        <v/>
      </c>
      <c r="AR22" s="8">
        <f>Scommesse!$D$134&amp;" / "&amp;Scommesse!$E$134</f>
        <v/>
      </c>
      <c r="AS22" s="9">
        <f>Scommesse!$F$134</f>
        <v/>
      </c>
      <c r="AT22" s="10">
        <f>IF(Scommesse!$S$134&gt;0,"✔","")</f>
        <v/>
      </c>
      <c r="AU22">
        <f>Calcoli!$I$79</f>
        <v/>
      </c>
      <c r="AW22" s="7">
        <f>Scommesse!$C$151</f>
        <v/>
      </c>
      <c r="AX22" s="8">
        <f>Scommesse!$D$151&amp;" / "&amp;Scommesse!$E$151</f>
        <v/>
      </c>
      <c r="AY22" s="9">
        <f>Scommesse!$F$151</f>
        <v/>
      </c>
      <c r="AZ22" s="10">
        <f>IF(Scommesse!$S$151&gt;0,"✔","")</f>
        <v/>
      </c>
      <c r="BA22">
        <f>Calcoli!$I$89</f>
        <v/>
      </c>
    </row>
    <row r="23">
      <c r="A23" s="24">
        <f>IF(Riepilogo!$O$4&gt;0,"✔ ","✖ ")&amp;"Attuale "&amp;TEXT(0.10*EXP(SUMPRODUCT((Scommesse!$A$2:$A$151=1)*(Scommesse!$Q$2:$Q$151)*LN(Scommesse!$F$2:$F$151))),"#,##0.00")&amp;" €"</f>
        <v/>
      </c>
      <c r="B23" s="25" t="n"/>
      <c r="C23" s="25" t="n"/>
      <c r="D23" s="25" t="n"/>
      <c r="E23">
        <f>Riepilogo!$O$4</f>
        <v/>
      </c>
      <c r="G23" s="24">
        <f>IF(Riepilogo!$O$5&gt;0,"✔ ","✖ ")&amp;"Attuale "&amp;TEXT(0.10*EXP(SUMPRODUCT((Scommesse!$A$2:$A$151=2)*(Scommesse!$Q$2:$Q$151)*LN(Scommesse!$F$2:$F$151))),"#,##0.00")&amp;" €"</f>
        <v/>
      </c>
      <c r="H23" s="25" t="n"/>
      <c r="I23" s="25" t="n"/>
      <c r="J23" s="25" t="n"/>
      <c r="K23">
        <f>Riepilogo!$O$5</f>
        <v/>
      </c>
      <c r="M23" s="24">
        <f>IF(Riepilogo!$O$6&gt;0,"✔ ","✖ ")&amp;"Attuale "&amp;TEXT(0.15*EXP(SUMPRODUCT((Scommesse!$A$2:$A$151=3)*(Scommesse!$Q$2:$Q$151)*LN(Scommesse!$F$2:$F$151))),"#,##0.00")&amp;" €"</f>
        <v/>
      </c>
      <c r="N23" s="25" t="n"/>
      <c r="O23" s="25" t="n"/>
      <c r="P23" s="25" t="n"/>
      <c r="Q23">
        <f>Riepilogo!$O$6</f>
        <v/>
      </c>
      <c r="S23" s="24">
        <f>IF(Riepilogo!$O$7&gt;0,"✔ ","✖ ")&amp;"Attuale "&amp;TEXT(0.20*EXP(SUMPRODUCT((Scommesse!$A$2:$A$151=4)*(Scommesse!$Q$2:$Q$151)*LN(Scommesse!$F$2:$F$151))),"#,##0.00")&amp;" €"</f>
        <v/>
      </c>
      <c r="T23" s="25" t="n"/>
      <c r="U23" s="25" t="n"/>
      <c r="V23" s="25" t="n"/>
      <c r="W23">
        <f>Riepilogo!$O$7</f>
        <v/>
      </c>
      <c r="Y23" s="24">
        <f>IF(Riepilogo!$O$8&gt;0,"✔ ","✖ ")&amp;"Attuale "&amp;TEXT(0.30*EXP(SUMPRODUCT((Scommesse!$A$2:$A$151=5)*(Scommesse!$Q$2:$Q$151)*LN(Scommesse!$F$2:$F$151))),"#,##0.00")&amp;" €"</f>
        <v/>
      </c>
      <c r="Z23" s="25" t="n"/>
      <c r="AA23" s="25" t="n"/>
      <c r="AB23" s="25" t="n"/>
      <c r="AC23">
        <f>Riepilogo!$O$8</f>
        <v/>
      </c>
      <c r="AE23" s="24">
        <f>IF(Riepilogo!$O$9&gt;0,"✔ ","✖ ")&amp;"Attuale "&amp;TEXT(0.20*EXP(SUMPRODUCT((Scommesse!$A$2:$A$151=6)*(Scommesse!$Q$2:$Q$151)*LN(Scommesse!$F$2:$F$151))),"#,##0.00")&amp;" €"</f>
        <v/>
      </c>
      <c r="AF23" s="25" t="n"/>
      <c r="AG23" s="25" t="n"/>
      <c r="AH23" s="25" t="n"/>
      <c r="AI23">
        <f>Riepilogo!$O$9</f>
        <v/>
      </c>
      <c r="AK23" s="24">
        <f>IF(Riepilogo!$O$10&gt;0,"✔ ","✖ ")&amp;"Attuale "&amp;TEXT(0.20*EXP(SUMPRODUCT((Scommesse!$A$2:$A$151=7)*(Scommesse!$Q$2:$Q$151)*LN(Scommesse!$F$2:$F$151))),"#,##0.00")&amp;" €"</f>
        <v/>
      </c>
      <c r="AL23" s="25" t="n"/>
      <c r="AM23" s="25" t="n"/>
      <c r="AN23" s="25" t="n"/>
      <c r="AO23">
        <f>Riepilogo!$O$10</f>
        <v/>
      </c>
      <c r="AQ23" s="24">
        <f>IF(Riepilogo!$O$11&gt;0,"✔ ","✖ ")&amp;"Attuale "&amp;TEXT(0.05*EXP(SUMPRODUCT((Scommesse!$A$2:$A$151=8)*(Scommesse!$Q$2:$Q$151)*LN(Scommesse!$F$2:$F$151))),"#,##0.00")&amp;" €"</f>
        <v/>
      </c>
      <c r="AR23" s="25" t="n"/>
      <c r="AS23" s="25" t="n"/>
      <c r="AT23" s="25" t="n"/>
      <c r="AU23">
        <f>Riepilogo!$O$11</f>
        <v/>
      </c>
      <c r="AW23" s="24">
        <f>IF(Riepilogo!$O$12&gt;0,"✔ ","✖ ")&amp;"Attuale "&amp;TEXT(0.05*EXP(SUMPRODUCT((Scommesse!$A$2:$A$151=9)*(Scommesse!$Q$2:$Q$151)*LN(Scommesse!$F$2:$F$151))),"#,##0.00")&amp;" €"</f>
        <v/>
      </c>
      <c r="AX23" s="25" t="n"/>
      <c r="AY23" s="25" t="n"/>
      <c r="AZ23" s="25" t="n"/>
      <c r="BA23">
        <f>Riepilogo!$O$12</f>
        <v/>
      </c>
    </row>
  </sheetData>
  <mergeCells count="18">
    <mergeCell ref="A23:D23"/>
    <mergeCell ref="AE23:AH23"/>
    <mergeCell ref="AW23:AZ23"/>
    <mergeCell ref="M4:P4"/>
    <mergeCell ref="G23:J23"/>
    <mergeCell ref="S4:V4"/>
    <mergeCell ref="AE4:AH4"/>
    <mergeCell ref="AK4:AN4"/>
    <mergeCell ref="A4:D4"/>
    <mergeCell ref="G4:J4"/>
    <mergeCell ref="AK23:AN23"/>
    <mergeCell ref="AQ23:AT23"/>
    <mergeCell ref="Y4:AB4"/>
    <mergeCell ref="AQ4:AT4"/>
    <mergeCell ref="AW4:AZ4"/>
    <mergeCell ref="S23:V23"/>
    <mergeCell ref="M23:P23"/>
    <mergeCell ref="Y23:AB23"/>
  </mergeCells>
  <conditionalFormatting sqref="A6:D22">
    <cfRule type="expression" priority="1" dxfId="0" stopIfTrue="1">
      <formula>$E6=2</formula>
    </cfRule>
    <cfRule type="expression" priority="2" dxfId="1" stopIfTrue="1">
      <formula>$E6=-2</formula>
    </cfRule>
    <cfRule type="expression" priority="3" dxfId="2" stopIfTrue="1">
      <formula>$E6=-1</formula>
    </cfRule>
  </conditionalFormatting>
  <conditionalFormatting sqref="A23:D23">
    <cfRule type="expression" priority="4" dxfId="0" stopIfTrue="1">
      <formula>$E23=2</formula>
    </cfRule>
    <cfRule type="expression" priority="5" dxfId="3" stopIfTrue="1">
      <formula>$E23=-2</formula>
    </cfRule>
  </conditionalFormatting>
  <conditionalFormatting sqref="G6:J22">
    <cfRule type="expression" priority="6" dxfId="0" stopIfTrue="1">
      <formula>$K6=2</formula>
    </cfRule>
    <cfRule type="expression" priority="7" dxfId="1" stopIfTrue="1">
      <formula>$K6=-2</formula>
    </cfRule>
    <cfRule type="expression" priority="8" dxfId="2" stopIfTrue="1">
      <formula>$K6=-1</formula>
    </cfRule>
  </conditionalFormatting>
  <conditionalFormatting sqref="G23:J23">
    <cfRule type="expression" priority="9" dxfId="0" stopIfTrue="1">
      <formula>$K23=2</formula>
    </cfRule>
    <cfRule type="expression" priority="10" dxfId="3" stopIfTrue="1">
      <formula>$K23=-2</formula>
    </cfRule>
  </conditionalFormatting>
  <conditionalFormatting sqref="M6:P22">
    <cfRule type="expression" priority="11" dxfId="0" stopIfTrue="1">
      <formula>$Q6=2</formula>
    </cfRule>
    <cfRule type="expression" priority="12" dxfId="1" stopIfTrue="1">
      <formula>$Q6=-2</formula>
    </cfRule>
    <cfRule type="expression" priority="13" dxfId="2" stopIfTrue="1">
      <formula>$Q6=-1</formula>
    </cfRule>
  </conditionalFormatting>
  <conditionalFormatting sqref="M23:P23">
    <cfRule type="expression" priority="14" dxfId="0" stopIfTrue="1">
      <formula>$Q23=2</formula>
    </cfRule>
    <cfRule type="expression" priority="15" dxfId="3" stopIfTrue="1">
      <formula>$Q23=-2</formula>
    </cfRule>
  </conditionalFormatting>
  <conditionalFormatting sqref="S6:V22">
    <cfRule type="expression" priority="16" dxfId="0" stopIfTrue="1">
      <formula>$W6=2</formula>
    </cfRule>
    <cfRule type="expression" priority="17" dxfId="1" stopIfTrue="1">
      <formula>$W6=-2</formula>
    </cfRule>
    <cfRule type="expression" priority="18" dxfId="2" stopIfTrue="1">
      <formula>$W6=-1</formula>
    </cfRule>
  </conditionalFormatting>
  <conditionalFormatting sqref="S23:V23">
    <cfRule type="expression" priority="19" dxfId="0" stopIfTrue="1">
      <formula>$W23=2</formula>
    </cfRule>
    <cfRule type="expression" priority="20" dxfId="3" stopIfTrue="1">
      <formula>$W23=-2</formula>
    </cfRule>
  </conditionalFormatting>
  <conditionalFormatting sqref="Y6:AB22">
    <cfRule type="expression" priority="21" dxfId="0" stopIfTrue="1">
      <formula>$AC6=2</formula>
    </cfRule>
    <cfRule type="expression" priority="22" dxfId="1" stopIfTrue="1">
      <formula>$AC6=-2</formula>
    </cfRule>
    <cfRule type="expression" priority="23" dxfId="2" stopIfTrue="1">
      <formula>$AC6=-1</formula>
    </cfRule>
  </conditionalFormatting>
  <conditionalFormatting sqref="Y23:AB23">
    <cfRule type="expression" priority="24" dxfId="0" stopIfTrue="1">
      <formula>$AC23=2</formula>
    </cfRule>
    <cfRule type="expression" priority="25" dxfId="3" stopIfTrue="1">
      <formula>$AC23=-2</formula>
    </cfRule>
  </conditionalFormatting>
  <conditionalFormatting sqref="AE6:AH22">
    <cfRule type="expression" priority="26" dxfId="0" stopIfTrue="1">
      <formula>$AI6=2</formula>
    </cfRule>
    <cfRule type="expression" priority="27" dxfId="1" stopIfTrue="1">
      <formula>$AI6=-2</formula>
    </cfRule>
    <cfRule type="expression" priority="28" dxfId="2" stopIfTrue="1">
      <formula>$AI6=-1</formula>
    </cfRule>
  </conditionalFormatting>
  <conditionalFormatting sqref="AE23:AH23">
    <cfRule type="expression" priority="29" dxfId="0" stopIfTrue="1">
      <formula>$AI23=2</formula>
    </cfRule>
    <cfRule type="expression" priority="30" dxfId="3" stopIfTrue="1">
      <formula>$AI23=-2</formula>
    </cfRule>
  </conditionalFormatting>
  <conditionalFormatting sqref="AK6:AN22">
    <cfRule type="expression" priority="31" dxfId="0" stopIfTrue="1">
      <formula>$AO6=2</formula>
    </cfRule>
    <cfRule type="expression" priority="32" dxfId="1" stopIfTrue="1">
      <formula>$AO6=-2</formula>
    </cfRule>
    <cfRule type="expression" priority="33" dxfId="2" stopIfTrue="1">
      <formula>$AO6=-1</formula>
    </cfRule>
  </conditionalFormatting>
  <conditionalFormatting sqref="AK23:AN23">
    <cfRule type="expression" priority="34" dxfId="0" stopIfTrue="1">
      <formula>$AO23=2</formula>
    </cfRule>
    <cfRule type="expression" priority="35" dxfId="3" stopIfTrue="1">
      <formula>$AO23=-2</formula>
    </cfRule>
  </conditionalFormatting>
  <conditionalFormatting sqref="AQ6:AT22">
    <cfRule type="expression" priority="36" dxfId="0" stopIfTrue="1">
      <formula>$AU6=2</formula>
    </cfRule>
    <cfRule type="expression" priority="37" dxfId="1" stopIfTrue="1">
      <formula>$AU6=-2</formula>
    </cfRule>
    <cfRule type="expression" priority="38" dxfId="2" stopIfTrue="1">
      <formula>$AU6=-1</formula>
    </cfRule>
  </conditionalFormatting>
  <conditionalFormatting sqref="AQ23:AT23">
    <cfRule type="expression" priority="39" dxfId="0" stopIfTrue="1">
      <formula>$AU23=2</formula>
    </cfRule>
    <cfRule type="expression" priority="40" dxfId="3" stopIfTrue="1">
      <formula>$AU23=-2</formula>
    </cfRule>
  </conditionalFormatting>
  <conditionalFormatting sqref="AW6:AZ22">
    <cfRule type="expression" priority="41" dxfId="0" stopIfTrue="1">
      <formula>$BA6=2</formula>
    </cfRule>
    <cfRule type="expression" priority="42" dxfId="1" stopIfTrue="1">
      <formula>$BA6=-2</formula>
    </cfRule>
    <cfRule type="expression" priority="43" dxfId="2" stopIfTrue="1">
      <formula>$BA6=-1</formula>
    </cfRule>
  </conditionalFormatting>
  <conditionalFormatting sqref="AW23:AZ23">
    <cfRule type="expression" priority="44" dxfId="0" stopIfTrue="1">
      <formula>$BA23=2</formula>
    </cfRule>
    <cfRule type="expression" priority="45" dxfId="3" stopIfTrue="1">
      <formula>$BA23=-2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6"/>
  <sheetViews>
    <sheetView showGridLines="0" zoomScale="7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5" customWidth="1" min="3" max="3"/>
    <col width="4" customWidth="1" min="4" max="4"/>
    <col width="4" customWidth="1" min="5" max="5"/>
    <col width="2" customWidth="1" min="6" max="6"/>
    <col width="4" customWidth="1" min="7" max="7"/>
    <col width="14" customWidth="1" min="8" max="8"/>
    <col width="5" customWidth="1" min="9" max="9"/>
    <col width="4" customWidth="1" min="10" max="10"/>
    <col width="4" customWidth="1" min="11" max="11"/>
    <col width="2" customWidth="1" min="12" max="12"/>
    <col width="4" customWidth="1" min="13" max="13"/>
    <col width="14" customWidth="1" min="14" max="14"/>
    <col width="5" customWidth="1" min="15" max="15"/>
    <col width="4" customWidth="1" min="16" max="16"/>
    <col width="4" customWidth="1" min="17" max="17"/>
    <col width="2" customWidth="1" min="18" max="18"/>
    <col width="4" customWidth="1" min="19" max="19"/>
    <col width="14" customWidth="1" min="20" max="20"/>
    <col width="5" customWidth="1" min="21" max="21"/>
    <col width="4" customWidth="1" min="22" max="22"/>
    <col width="4" customWidth="1" min="23" max="23"/>
    <col width="2" customWidth="1" min="24" max="24"/>
    <col width="4" customWidth="1" min="25" max="25"/>
    <col width="14" customWidth="1" min="26" max="26"/>
    <col width="5" customWidth="1" min="27" max="27"/>
    <col width="4" customWidth="1" min="28" max="28"/>
    <col width="4" customWidth="1" min="29" max="29"/>
    <col width="2" customWidth="1" min="30" max="30"/>
    <col width="4" customWidth="1" min="31" max="31"/>
    <col width="14" customWidth="1" min="32" max="32"/>
    <col width="5" customWidth="1" min="33" max="33"/>
    <col width="4" customWidth="1" min="34" max="34"/>
    <col width="4" customWidth="1" min="35" max="35"/>
    <col width="2" customWidth="1" min="36" max="36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</cols>
  <sheetData>
    <row r="1">
      <c r="A1" s="1" t="inlineStr">
        <is>
          <t>GIRONI - Classifiche live</t>
        </is>
      </c>
      <c r="N1" s="2" t="inlineStr">
        <is>
          <t>Aggiornato:</t>
        </is>
      </c>
      <c r="P1" s="3">
        <f>Config!$B$2</f>
        <v/>
      </c>
    </row>
    <row r="2">
      <c r="A2" s="4" t="inlineStr">
        <is>
          <t>Verde = situazione OK per le scommesse (✅ tra i primi 2 / ⛔ fuori dai primi 2).  Rosa = situazione sfavorevole.  Rim = partite da giocare.</t>
        </is>
      </c>
    </row>
    <row r="4">
      <c r="A4" s="5" t="inlineStr">
        <is>
          <t>GIRONE A</t>
        </is>
      </c>
      <c r="G4" s="5" t="inlineStr">
        <is>
          <t>GIRONE B</t>
        </is>
      </c>
      <c r="M4" s="5" t="inlineStr">
        <is>
          <t>GIRONE C</t>
        </is>
      </c>
      <c r="S4" s="5" t="inlineStr">
        <is>
          <t>GIRONE D</t>
        </is>
      </c>
      <c r="Y4" s="5" t="inlineStr">
        <is>
          <t>GIRONE E</t>
        </is>
      </c>
      <c r="AE4" s="5" t="inlineStr">
        <is>
          <t>GIRONE F</t>
        </is>
      </c>
    </row>
    <row r="5">
      <c r="A5" s="6" t="inlineStr">
        <is>
          <t>Pos</t>
        </is>
      </c>
      <c r="B5" s="6" t="inlineStr">
        <is>
          <t>Squadra</t>
        </is>
      </c>
      <c r="C5" s="6" t="inlineStr">
        <is>
          <t>Pti</t>
        </is>
      </c>
      <c r="D5" s="6" t="inlineStr">
        <is>
          <t>Rim</t>
        </is>
      </c>
      <c r="E5" s="6" t="inlineStr"/>
      <c r="G5" s="6" t="inlineStr">
        <is>
          <t>Pos</t>
        </is>
      </c>
      <c r="H5" s="6" t="inlineStr">
        <is>
          <t>Squadra</t>
        </is>
      </c>
      <c r="I5" s="6" t="inlineStr">
        <is>
          <t>Pti</t>
        </is>
      </c>
      <c r="J5" s="6" t="inlineStr">
        <is>
          <t>Rim</t>
        </is>
      </c>
      <c r="K5" s="6" t="inlineStr"/>
      <c r="M5" s="6" t="inlineStr">
        <is>
          <t>Pos</t>
        </is>
      </c>
      <c r="N5" s="6" t="inlineStr">
        <is>
          <t>Squadra</t>
        </is>
      </c>
      <c r="O5" s="6" t="inlineStr">
        <is>
          <t>Pti</t>
        </is>
      </c>
      <c r="P5" s="6" t="inlineStr">
        <is>
          <t>Rim</t>
        </is>
      </c>
      <c r="Q5" s="6" t="inlineStr"/>
      <c r="S5" s="6" t="inlineStr">
        <is>
          <t>Pos</t>
        </is>
      </c>
      <c r="T5" s="6" t="inlineStr">
        <is>
          <t>Squadra</t>
        </is>
      </c>
      <c r="U5" s="6" t="inlineStr">
        <is>
          <t>Pti</t>
        </is>
      </c>
      <c r="V5" s="6" t="inlineStr">
        <is>
          <t>Rim</t>
        </is>
      </c>
      <c r="W5" s="6" t="inlineStr"/>
      <c r="Y5" s="6" t="inlineStr">
        <is>
          <t>Pos</t>
        </is>
      </c>
      <c r="Z5" s="6" t="inlineStr">
        <is>
          <t>Squadra</t>
        </is>
      </c>
      <c r="AA5" s="6" t="inlineStr">
        <is>
          <t>Pti</t>
        </is>
      </c>
      <c r="AB5" s="6" t="inlineStr">
        <is>
          <t>Rim</t>
        </is>
      </c>
      <c r="AC5" s="6" t="inlineStr"/>
      <c r="AE5" s="6" t="inlineStr">
        <is>
          <t>Pos</t>
        </is>
      </c>
      <c r="AF5" s="6" t="inlineStr">
        <is>
          <t>Squadra</t>
        </is>
      </c>
      <c r="AG5" s="6" t="inlineStr">
        <is>
          <t>Pti</t>
        </is>
      </c>
      <c r="AH5" s="6" t="inlineStr">
        <is>
          <t>Rim</t>
        </is>
      </c>
      <c r="AI5" s="6" t="inlineStr"/>
    </row>
    <row r="6">
      <c r="A6" s="26" t="n">
        <v>1</v>
      </c>
      <c r="B6" s="27">
        <f>IFERROR(INDEX(Classifiche!$B$4:$B$51,MATCH(1,(Classifiche!$A$4:$A$51="A")*(Classifiche!$L$4:$L$51=1),0)),"")</f>
        <v/>
      </c>
      <c r="C6" s="26">
        <f>IFERROR(INDEX(Classifiche!$I$4:$I$51,MATCH(1,(Classifiche!$A$4:$A$51="A")*(Classifiche!$L$4:$L$51=1),0)),"")</f>
        <v/>
      </c>
      <c r="D6" s="26">
        <f>IFERROR(INDEX(Classifiche!$AA$4:$AA$51,MATCH(1,(Classifiche!$A$4:$A$51="A")*(Classifiche!$L$4:$L$51=1),0)),"")</f>
        <v/>
      </c>
      <c r="E6" s="26">
        <f>IFERROR(INDEX(Classifiche!$AB$4:$AB$51,MATCH(1,(Classifiche!$A$4:$A$51="A")*(Classifiche!$L$4:$L$51=1),0)),"")</f>
        <v/>
      </c>
      <c r="G6" s="26" t="n">
        <v>1</v>
      </c>
      <c r="H6" s="27">
        <f>IFERROR(INDEX(Classifiche!$B$4:$B$51,MATCH(1,(Classifiche!$A$4:$A$51="B")*(Classifiche!$L$4:$L$51=1),0)),"")</f>
        <v/>
      </c>
      <c r="I6" s="26">
        <f>IFERROR(INDEX(Classifiche!$I$4:$I$51,MATCH(1,(Classifiche!$A$4:$A$51="B")*(Classifiche!$L$4:$L$51=1),0)),"")</f>
        <v/>
      </c>
      <c r="J6" s="26">
        <f>IFERROR(INDEX(Classifiche!$AA$4:$AA$51,MATCH(1,(Classifiche!$A$4:$A$51="B")*(Classifiche!$L$4:$L$51=1),0)),"")</f>
        <v/>
      </c>
      <c r="K6" s="26">
        <f>IFERROR(INDEX(Classifiche!$AB$4:$AB$51,MATCH(1,(Classifiche!$A$4:$A$51="B")*(Classifiche!$L$4:$L$51=1),0)),"")</f>
        <v/>
      </c>
      <c r="M6" s="26" t="n">
        <v>1</v>
      </c>
      <c r="N6" s="27">
        <f>IFERROR(INDEX(Classifiche!$B$4:$B$51,MATCH(1,(Classifiche!$A$4:$A$51="C")*(Classifiche!$L$4:$L$51=1),0)),"")</f>
        <v/>
      </c>
      <c r="O6" s="26">
        <f>IFERROR(INDEX(Classifiche!$I$4:$I$51,MATCH(1,(Classifiche!$A$4:$A$51="C")*(Classifiche!$L$4:$L$51=1),0)),"")</f>
        <v/>
      </c>
      <c r="P6" s="26">
        <f>IFERROR(INDEX(Classifiche!$AA$4:$AA$51,MATCH(1,(Classifiche!$A$4:$A$51="C")*(Classifiche!$L$4:$L$51=1),0)),"")</f>
        <v/>
      </c>
      <c r="Q6" s="26">
        <f>IFERROR(INDEX(Classifiche!$AB$4:$AB$51,MATCH(1,(Classifiche!$A$4:$A$51="C")*(Classifiche!$L$4:$L$51=1),0)),"")</f>
        <v/>
      </c>
      <c r="S6" s="26" t="n">
        <v>1</v>
      </c>
      <c r="T6" s="27">
        <f>IFERROR(INDEX(Classifiche!$B$4:$B$51,MATCH(1,(Classifiche!$A$4:$A$51="D")*(Classifiche!$L$4:$L$51=1),0)),"")</f>
        <v/>
      </c>
      <c r="U6" s="26">
        <f>IFERROR(INDEX(Classifiche!$I$4:$I$51,MATCH(1,(Classifiche!$A$4:$A$51="D")*(Classifiche!$L$4:$L$51=1),0)),"")</f>
        <v/>
      </c>
      <c r="V6" s="26">
        <f>IFERROR(INDEX(Classifiche!$AA$4:$AA$51,MATCH(1,(Classifiche!$A$4:$A$51="D")*(Classifiche!$L$4:$L$51=1),0)),"")</f>
        <v/>
      </c>
      <c r="W6" s="26">
        <f>IFERROR(INDEX(Classifiche!$AB$4:$AB$51,MATCH(1,(Classifiche!$A$4:$A$51="D")*(Classifiche!$L$4:$L$51=1),0)),"")</f>
        <v/>
      </c>
      <c r="Y6" s="26" t="n">
        <v>1</v>
      </c>
      <c r="Z6" s="27">
        <f>IFERROR(INDEX(Classifiche!$B$4:$B$51,MATCH(1,(Classifiche!$A$4:$A$51="E")*(Classifiche!$L$4:$L$51=1),0)),"")</f>
        <v/>
      </c>
      <c r="AA6" s="26">
        <f>IFERROR(INDEX(Classifiche!$I$4:$I$51,MATCH(1,(Classifiche!$A$4:$A$51="E")*(Classifiche!$L$4:$L$51=1),0)),"")</f>
        <v/>
      </c>
      <c r="AB6" s="26">
        <f>IFERROR(INDEX(Classifiche!$AA$4:$AA$51,MATCH(1,(Classifiche!$A$4:$A$51="E")*(Classifiche!$L$4:$L$51=1),0)),"")</f>
        <v/>
      </c>
      <c r="AC6" s="26">
        <f>IFERROR(INDEX(Classifiche!$AB$4:$AB$51,MATCH(1,(Classifiche!$A$4:$A$51="E")*(Classifiche!$L$4:$L$51=1),0)),"")</f>
        <v/>
      </c>
      <c r="AE6" s="26" t="n">
        <v>1</v>
      </c>
      <c r="AF6" s="27">
        <f>IFERROR(INDEX(Classifiche!$B$4:$B$51,MATCH(1,(Classifiche!$A$4:$A$51="F")*(Classifiche!$L$4:$L$51=1),0)),"")</f>
        <v/>
      </c>
      <c r="AG6" s="26">
        <f>IFERROR(INDEX(Classifiche!$I$4:$I$51,MATCH(1,(Classifiche!$A$4:$A$51="F")*(Classifiche!$L$4:$L$51=1),0)),"")</f>
        <v/>
      </c>
      <c r="AH6" s="26">
        <f>IFERROR(INDEX(Classifiche!$AA$4:$AA$51,MATCH(1,(Classifiche!$A$4:$A$51="F")*(Classifiche!$L$4:$L$51=1),0)),"")</f>
        <v/>
      </c>
      <c r="AI6" s="26">
        <f>IFERROR(INDEX(Classifiche!$AB$4:$AB$51,MATCH(1,(Classifiche!$A$4:$A$51="F")*(Classifiche!$L$4:$L$51=1),0)),"")</f>
        <v/>
      </c>
      <c r="AN6">
        <f>IFERROR(INDEX(Classifiche!$AC$4:$AC$51,MATCH(1,(Classifiche!$A$4:$A$51="A")*(Classifiche!$L$4:$L$51=1),0)),0)</f>
        <v/>
      </c>
      <c r="AO6">
        <f>IFERROR(INDEX(Classifiche!$AC$4:$AC$51,MATCH(1,(Classifiche!$A$4:$A$51="B")*(Classifiche!$L$4:$L$51=1),0)),0)</f>
        <v/>
      </c>
      <c r="AP6">
        <f>IFERROR(INDEX(Classifiche!$AC$4:$AC$51,MATCH(1,(Classifiche!$A$4:$A$51="C")*(Classifiche!$L$4:$L$51=1),0)),0)</f>
        <v/>
      </c>
      <c r="AQ6">
        <f>IFERROR(INDEX(Classifiche!$AC$4:$AC$51,MATCH(1,(Classifiche!$A$4:$A$51="D")*(Classifiche!$L$4:$L$51=1),0)),0)</f>
        <v/>
      </c>
      <c r="AR6">
        <f>IFERROR(INDEX(Classifiche!$AC$4:$AC$51,MATCH(1,(Classifiche!$A$4:$A$51="E")*(Classifiche!$L$4:$L$51=1),0)),0)</f>
        <v/>
      </c>
      <c r="AS6">
        <f>IFERROR(INDEX(Classifiche!$AC$4:$AC$51,MATCH(1,(Classifiche!$A$4:$A$51="F")*(Classifiche!$L$4:$L$51=1),0)),0)</f>
        <v/>
      </c>
    </row>
    <row r="7">
      <c r="A7" s="26" t="n">
        <v>2</v>
      </c>
      <c r="B7" s="27">
        <f>IFERROR(INDEX(Classifiche!$B$4:$B$51,MATCH(1,(Classifiche!$A$4:$A$51="A")*(Classifiche!$L$4:$L$51=2),0)),"")</f>
        <v/>
      </c>
      <c r="C7" s="26">
        <f>IFERROR(INDEX(Classifiche!$I$4:$I$51,MATCH(1,(Classifiche!$A$4:$A$51="A")*(Classifiche!$L$4:$L$51=2),0)),"")</f>
        <v/>
      </c>
      <c r="D7" s="26">
        <f>IFERROR(INDEX(Classifiche!$AA$4:$AA$51,MATCH(1,(Classifiche!$A$4:$A$51="A")*(Classifiche!$L$4:$L$51=2),0)),"")</f>
        <v/>
      </c>
      <c r="E7" s="26">
        <f>IFERROR(INDEX(Classifiche!$AB$4:$AB$51,MATCH(1,(Classifiche!$A$4:$A$51="A")*(Classifiche!$L$4:$L$51=2),0)),"")</f>
        <v/>
      </c>
      <c r="G7" s="26" t="n">
        <v>2</v>
      </c>
      <c r="H7" s="27">
        <f>IFERROR(INDEX(Classifiche!$B$4:$B$51,MATCH(1,(Classifiche!$A$4:$A$51="B")*(Classifiche!$L$4:$L$51=2),0)),"")</f>
        <v/>
      </c>
      <c r="I7" s="26">
        <f>IFERROR(INDEX(Classifiche!$I$4:$I$51,MATCH(1,(Classifiche!$A$4:$A$51="B")*(Classifiche!$L$4:$L$51=2),0)),"")</f>
        <v/>
      </c>
      <c r="J7" s="26">
        <f>IFERROR(INDEX(Classifiche!$AA$4:$AA$51,MATCH(1,(Classifiche!$A$4:$A$51="B")*(Classifiche!$L$4:$L$51=2),0)),"")</f>
        <v/>
      </c>
      <c r="K7" s="26">
        <f>IFERROR(INDEX(Classifiche!$AB$4:$AB$51,MATCH(1,(Classifiche!$A$4:$A$51="B")*(Classifiche!$L$4:$L$51=2),0)),"")</f>
        <v/>
      </c>
      <c r="M7" s="26" t="n">
        <v>2</v>
      </c>
      <c r="N7" s="27">
        <f>IFERROR(INDEX(Classifiche!$B$4:$B$51,MATCH(1,(Classifiche!$A$4:$A$51="C")*(Classifiche!$L$4:$L$51=2),0)),"")</f>
        <v/>
      </c>
      <c r="O7" s="26">
        <f>IFERROR(INDEX(Classifiche!$I$4:$I$51,MATCH(1,(Classifiche!$A$4:$A$51="C")*(Classifiche!$L$4:$L$51=2),0)),"")</f>
        <v/>
      </c>
      <c r="P7" s="26">
        <f>IFERROR(INDEX(Classifiche!$AA$4:$AA$51,MATCH(1,(Classifiche!$A$4:$A$51="C")*(Classifiche!$L$4:$L$51=2),0)),"")</f>
        <v/>
      </c>
      <c r="Q7" s="26">
        <f>IFERROR(INDEX(Classifiche!$AB$4:$AB$51,MATCH(1,(Classifiche!$A$4:$A$51="C")*(Classifiche!$L$4:$L$51=2),0)),"")</f>
        <v/>
      </c>
      <c r="S7" s="26" t="n">
        <v>2</v>
      </c>
      <c r="T7" s="27">
        <f>IFERROR(INDEX(Classifiche!$B$4:$B$51,MATCH(1,(Classifiche!$A$4:$A$51="D")*(Classifiche!$L$4:$L$51=2),0)),"")</f>
        <v/>
      </c>
      <c r="U7" s="26">
        <f>IFERROR(INDEX(Classifiche!$I$4:$I$51,MATCH(1,(Classifiche!$A$4:$A$51="D")*(Classifiche!$L$4:$L$51=2),0)),"")</f>
        <v/>
      </c>
      <c r="V7" s="26">
        <f>IFERROR(INDEX(Classifiche!$AA$4:$AA$51,MATCH(1,(Classifiche!$A$4:$A$51="D")*(Classifiche!$L$4:$L$51=2),0)),"")</f>
        <v/>
      </c>
      <c r="W7" s="26">
        <f>IFERROR(INDEX(Classifiche!$AB$4:$AB$51,MATCH(1,(Classifiche!$A$4:$A$51="D")*(Classifiche!$L$4:$L$51=2),0)),"")</f>
        <v/>
      </c>
      <c r="Y7" s="26" t="n">
        <v>2</v>
      </c>
      <c r="Z7" s="27">
        <f>IFERROR(INDEX(Classifiche!$B$4:$B$51,MATCH(1,(Classifiche!$A$4:$A$51="E")*(Classifiche!$L$4:$L$51=2),0)),"")</f>
        <v/>
      </c>
      <c r="AA7" s="26">
        <f>IFERROR(INDEX(Classifiche!$I$4:$I$51,MATCH(1,(Classifiche!$A$4:$A$51="E")*(Classifiche!$L$4:$L$51=2),0)),"")</f>
        <v/>
      </c>
      <c r="AB7" s="26">
        <f>IFERROR(INDEX(Classifiche!$AA$4:$AA$51,MATCH(1,(Classifiche!$A$4:$A$51="E")*(Classifiche!$L$4:$L$51=2),0)),"")</f>
        <v/>
      </c>
      <c r="AC7" s="26">
        <f>IFERROR(INDEX(Classifiche!$AB$4:$AB$51,MATCH(1,(Classifiche!$A$4:$A$51="E")*(Classifiche!$L$4:$L$51=2),0)),"")</f>
        <v/>
      </c>
      <c r="AE7" s="26" t="n">
        <v>2</v>
      </c>
      <c r="AF7" s="27">
        <f>IFERROR(INDEX(Classifiche!$B$4:$B$51,MATCH(1,(Classifiche!$A$4:$A$51="F")*(Classifiche!$L$4:$L$51=2),0)),"")</f>
        <v/>
      </c>
      <c r="AG7" s="26">
        <f>IFERROR(INDEX(Classifiche!$I$4:$I$51,MATCH(1,(Classifiche!$A$4:$A$51="F")*(Classifiche!$L$4:$L$51=2),0)),"")</f>
        <v/>
      </c>
      <c r="AH7" s="26">
        <f>IFERROR(INDEX(Classifiche!$AA$4:$AA$51,MATCH(1,(Classifiche!$A$4:$A$51="F")*(Classifiche!$L$4:$L$51=2),0)),"")</f>
        <v/>
      </c>
      <c r="AI7" s="26">
        <f>IFERROR(INDEX(Classifiche!$AB$4:$AB$51,MATCH(1,(Classifiche!$A$4:$A$51="F")*(Classifiche!$L$4:$L$51=2),0)),"")</f>
        <v/>
      </c>
      <c r="AN7">
        <f>IFERROR(INDEX(Classifiche!$AC$4:$AC$51,MATCH(1,(Classifiche!$A$4:$A$51="A")*(Classifiche!$L$4:$L$51=2),0)),0)</f>
        <v/>
      </c>
      <c r="AO7">
        <f>IFERROR(INDEX(Classifiche!$AC$4:$AC$51,MATCH(1,(Classifiche!$A$4:$A$51="B")*(Classifiche!$L$4:$L$51=2),0)),0)</f>
        <v/>
      </c>
      <c r="AP7">
        <f>IFERROR(INDEX(Classifiche!$AC$4:$AC$51,MATCH(1,(Classifiche!$A$4:$A$51="C")*(Classifiche!$L$4:$L$51=2),0)),0)</f>
        <v/>
      </c>
      <c r="AQ7">
        <f>IFERROR(INDEX(Classifiche!$AC$4:$AC$51,MATCH(1,(Classifiche!$A$4:$A$51="D")*(Classifiche!$L$4:$L$51=2),0)),0)</f>
        <v/>
      </c>
      <c r="AR7">
        <f>IFERROR(INDEX(Classifiche!$AC$4:$AC$51,MATCH(1,(Classifiche!$A$4:$A$51="E")*(Classifiche!$L$4:$L$51=2),0)),0)</f>
        <v/>
      </c>
      <c r="AS7">
        <f>IFERROR(INDEX(Classifiche!$AC$4:$AC$51,MATCH(1,(Classifiche!$A$4:$A$51="F")*(Classifiche!$L$4:$L$51=2),0)),0)</f>
        <v/>
      </c>
    </row>
    <row r="8">
      <c r="A8" s="26" t="n">
        <v>3</v>
      </c>
      <c r="B8" s="27">
        <f>IFERROR(INDEX(Classifiche!$B$4:$B$51,MATCH(1,(Classifiche!$A$4:$A$51="A")*(Classifiche!$L$4:$L$51=3),0)),"")</f>
        <v/>
      </c>
      <c r="C8" s="26">
        <f>IFERROR(INDEX(Classifiche!$I$4:$I$51,MATCH(1,(Classifiche!$A$4:$A$51="A")*(Classifiche!$L$4:$L$51=3),0)),"")</f>
        <v/>
      </c>
      <c r="D8" s="26">
        <f>IFERROR(INDEX(Classifiche!$AA$4:$AA$51,MATCH(1,(Classifiche!$A$4:$A$51="A")*(Classifiche!$L$4:$L$51=3),0)),"")</f>
        <v/>
      </c>
      <c r="E8" s="26">
        <f>IFERROR(INDEX(Classifiche!$AB$4:$AB$51,MATCH(1,(Classifiche!$A$4:$A$51="A")*(Classifiche!$L$4:$L$51=3),0)),"")</f>
        <v/>
      </c>
      <c r="G8" s="26" t="n">
        <v>3</v>
      </c>
      <c r="H8" s="27">
        <f>IFERROR(INDEX(Classifiche!$B$4:$B$51,MATCH(1,(Classifiche!$A$4:$A$51="B")*(Classifiche!$L$4:$L$51=3),0)),"")</f>
        <v/>
      </c>
      <c r="I8" s="26">
        <f>IFERROR(INDEX(Classifiche!$I$4:$I$51,MATCH(1,(Classifiche!$A$4:$A$51="B")*(Classifiche!$L$4:$L$51=3),0)),"")</f>
        <v/>
      </c>
      <c r="J8" s="26">
        <f>IFERROR(INDEX(Classifiche!$AA$4:$AA$51,MATCH(1,(Classifiche!$A$4:$A$51="B")*(Classifiche!$L$4:$L$51=3),0)),"")</f>
        <v/>
      </c>
      <c r="K8" s="26">
        <f>IFERROR(INDEX(Classifiche!$AB$4:$AB$51,MATCH(1,(Classifiche!$A$4:$A$51="B")*(Classifiche!$L$4:$L$51=3),0)),"")</f>
        <v/>
      </c>
      <c r="M8" s="26" t="n">
        <v>3</v>
      </c>
      <c r="N8" s="27">
        <f>IFERROR(INDEX(Classifiche!$B$4:$B$51,MATCH(1,(Classifiche!$A$4:$A$51="C")*(Classifiche!$L$4:$L$51=3),0)),"")</f>
        <v/>
      </c>
      <c r="O8" s="26">
        <f>IFERROR(INDEX(Classifiche!$I$4:$I$51,MATCH(1,(Classifiche!$A$4:$A$51="C")*(Classifiche!$L$4:$L$51=3),0)),"")</f>
        <v/>
      </c>
      <c r="P8" s="26">
        <f>IFERROR(INDEX(Classifiche!$AA$4:$AA$51,MATCH(1,(Classifiche!$A$4:$A$51="C")*(Classifiche!$L$4:$L$51=3),0)),"")</f>
        <v/>
      </c>
      <c r="Q8" s="26">
        <f>IFERROR(INDEX(Classifiche!$AB$4:$AB$51,MATCH(1,(Classifiche!$A$4:$A$51="C")*(Classifiche!$L$4:$L$51=3),0)),"")</f>
        <v/>
      </c>
      <c r="S8" s="26" t="n">
        <v>3</v>
      </c>
      <c r="T8" s="27">
        <f>IFERROR(INDEX(Classifiche!$B$4:$B$51,MATCH(1,(Classifiche!$A$4:$A$51="D")*(Classifiche!$L$4:$L$51=3),0)),"")</f>
        <v/>
      </c>
      <c r="U8" s="26">
        <f>IFERROR(INDEX(Classifiche!$I$4:$I$51,MATCH(1,(Classifiche!$A$4:$A$51="D")*(Classifiche!$L$4:$L$51=3),0)),"")</f>
        <v/>
      </c>
      <c r="V8" s="26">
        <f>IFERROR(INDEX(Classifiche!$AA$4:$AA$51,MATCH(1,(Classifiche!$A$4:$A$51="D")*(Classifiche!$L$4:$L$51=3),0)),"")</f>
        <v/>
      </c>
      <c r="W8" s="26">
        <f>IFERROR(INDEX(Classifiche!$AB$4:$AB$51,MATCH(1,(Classifiche!$A$4:$A$51="D")*(Classifiche!$L$4:$L$51=3),0)),"")</f>
        <v/>
      </c>
      <c r="Y8" s="26" t="n">
        <v>3</v>
      </c>
      <c r="Z8" s="27">
        <f>IFERROR(INDEX(Classifiche!$B$4:$B$51,MATCH(1,(Classifiche!$A$4:$A$51="E")*(Classifiche!$L$4:$L$51=3),0)),"")</f>
        <v/>
      </c>
      <c r="AA8" s="26">
        <f>IFERROR(INDEX(Classifiche!$I$4:$I$51,MATCH(1,(Classifiche!$A$4:$A$51="E")*(Classifiche!$L$4:$L$51=3),0)),"")</f>
        <v/>
      </c>
      <c r="AB8" s="26">
        <f>IFERROR(INDEX(Classifiche!$AA$4:$AA$51,MATCH(1,(Classifiche!$A$4:$A$51="E")*(Classifiche!$L$4:$L$51=3),0)),"")</f>
        <v/>
      </c>
      <c r="AC8" s="26">
        <f>IFERROR(INDEX(Classifiche!$AB$4:$AB$51,MATCH(1,(Classifiche!$A$4:$A$51="E")*(Classifiche!$L$4:$L$51=3),0)),"")</f>
        <v/>
      </c>
      <c r="AE8" s="26" t="n">
        <v>3</v>
      </c>
      <c r="AF8" s="27">
        <f>IFERROR(INDEX(Classifiche!$B$4:$B$51,MATCH(1,(Classifiche!$A$4:$A$51="F")*(Classifiche!$L$4:$L$51=3),0)),"")</f>
        <v/>
      </c>
      <c r="AG8" s="26">
        <f>IFERROR(INDEX(Classifiche!$I$4:$I$51,MATCH(1,(Classifiche!$A$4:$A$51="F")*(Classifiche!$L$4:$L$51=3),0)),"")</f>
        <v/>
      </c>
      <c r="AH8" s="26">
        <f>IFERROR(INDEX(Classifiche!$AA$4:$AA$51,MATCH(1,(Classifiche!$A$4:$A$51="F")*(Classifiche!$L$4:$L$51=3),0)),"")</f>
        <v/>
      </c>
      <c r="AI8" s="26">
        <f>IFERROR(INDEX(Classifiche!$AB$4:$AB$51,MATCH(1,(Classifiche!$A$4:$A$51="F")*(Classifiche!$L$4:$L$51=3),0)),"")</f>
        <v/>
      </c>
      <c r="AN8">
        <f>IFERROR(INDEX(Classifiche!$AC$4:$AC$51,MATCH(1,(Classifiche!$A$4:$A$51="A")*(Classifiche!$L$4:$L$51=3),0)),0)</f>
        <v/>
      </c>
      <c r="AO8">
        <f>IFERROR(INDEX(Classifiche!$AC$4:$AC$51,MATCH(1,(Classifiche!$A$4:$A$51="B")*(Classifiche!$L$4:$L$51=3),0)),0)</f>
        <v/>
      </c>
      <c r="AP8">
        <f>IFERROR(INDEX(Classifiche!$AC$4:$AC$51,MATCH(1,(Classifiche!$A$4:$A$51="C")*(Classifiche!$L$4:$L$51=3),0)),0)</f>
        <v/>
      </c>
      <c r="AQ8">
        <f>IFERROR(INDEX(Classifiche!$AC$4:$AC$51,MATCH(1,(Classifiche!$A$4:$A$51="D")*(Classifiche!$L$4:$L$51=3),0)),0)</f>
        <v/>
      </c>
      <c r="AR8">
        <f>IFERROR(INDEX(Classifiche!$AC$4:$AC$51,MATCH(1,(Classifiche!$A$4:$A$51="E")*(Classifiche!$L$4:$L$51=3),0)),0)</f>
        <v/>
      </c>
      <c r="AS8">
        <f>IFERROR(INDEX(Classifiche!$AC$4:$AC$51,MATCH(1,(Classifiche!$A$4:$A$51="F")*(Classifiche!$L$4:$L$51=3),0)),0)</f>
        <v/>
      </c>
    </row>
    <row r="9">
      <c r="A9" s="26" t="n">
        <v>4</v>
      </c>
      <c r="B9" s="27">
        <f>IFERROR(INDEX(Classifiche!$B$4:$B$51,MATCH(1,(Classifiche!$A$4:$A$51="A")*(Classifiche!$L$4:$L$51=4),0)),"")</f>
        <v/>
      </c>
      <c r="C9" s="26">
        <f>IFERROR(INDEX(Classifiche!$I$4:$I$51,MATCH(1,(Classifiche!$A$4:$A$51="A")*(Classifiche!$L$4:$L$51=4),0)),"")</f>
        <v/>
      </c>
      <c r="D9" s="26">
        <f>IFERROR(INDEX(Classifiche!$AA$4:$AA$51,MATCH(1,(Classifiche!$A$4:$A$51="A")*(Classifiche!$L$4:$L$51=4),0)),"")</f>
        <v/>
      </c>
      <c r="E9" s="26">
        <f>IFERROR(INDEX(Classifiche!$AB$4:$AB$51,MATCH(1,(Classifiche!$A$4:$A$51="A")*(Classifiche!$L$4:$L$51=4),0)),"")</f>
        <v/>
      </c>
      <c r="G9" s="26" t="n">
        <v>4</v>
      </c>
      <c r="H9" s="27">
        <f>IFERROR(INDEX(Classifiche!$B$4:$B$51,MATCH(1,(Classifiche!$A$4:$A$51="B")*(Classifiche!$L$4:$L$51=4),0)),"")</f>
        <v/>
      </c>
      <c r="I9" s="26">
        <f>IFERROR(INDEX(Classifiche!$I$4:$I$51,MATCH(1,(Classifiche!$A$4:$A$51="B")*(Classifiche!$L$4:$L$51=4),0)),"")</f>
        <v/>
      </c>
      <c r="J9" s="26">
        <f>IFERROR(INDEX(Classifiche!$AA$4:$AA$51,MATCH(1,(Classifiche!$A$4:$A$51="B")*(Classifiche!$L$4:$L$51=4),0)),"")</f>
        <v/>
      </c>
      <c r="K9" s="26">
        <f>IFERROR(INDEX(Classifiche!$AB$4:$AB$51,MATCH(1,(Classifiche!$A$4:$A$51="B")*(Classifiche!$L$4:$L$51=4),0)),"")</f>
        <v/>
      </c>
      <c r="M9" s="26" t="n">
        <v>4</v>
      </c>
      <c r="N9" s="27">
        <f>IFERROR(INDEX(Classifiche!$B$4:$B$51,MATCH(1,(Classifiche!$A$4:$A$51="C")*(Classifiche!$L$4:$L$51=4),0)),"")</f>
        <v/>
      </c>
      <c r="O9" s="26">
        <f>IFERROR(INDEX(Classifiche!$I$4:$I$51,MATCH(1,(Classifiche!$A$4:$A$51="C")*(Classifiche!$L$4:$L$51=4),0)),"")</f>
        <v/>
      </c>
      <c r="P9" s="26">
        <f>IFERROR(INDEX(Classifiche!$AA$4:$AA$51,MATCH(1,(Classifiche!$A$4:$A$51="C")*(Classifiche!$L$4:$L$51=4),0)),"")</f>
        <v/>
      </c>
      <c r="Q9" s="26">
        <f>IFERROR(INDEX(Classifiche!$AB$4:$AB$51,MATCH(1,(Classifiche!$A$4:$A$51="C")*(Classifiche!$L$4:$L$51=4),0)),"")</f>
        <v/>
      </c>
      <c r="S9" s="26" t="n">
        <v>4</v>
      </c>
      <c r="T9" s="27">
        <f>IFERROR(INDEX(Classifiche!$B$4:$B$51,MATCH(1,(Classifiche!$A$4:$A$51="D")*(Classifiche!$L$4:$L$51=4),0)),"")</f>
        <v/>
      </c>
      <c r="U9" s="26">
        <f>IFERROR(INDEX(Classifiche!$I$4:$I$51,MATCH(1,(Classifiche!$A$4:$A$51="D")*(Classifiche!$L$4:$L$51=4),0)),"")</f>
        <v/>
      </c>
      <c r="V9" s="26">
        <f>IFERROR(INDEX(Classifiche!$AA$4:$AA$51,MATCH(1,(Classifiche!$A$4:$A$51="D")*(Classifiche!$L$4:$L$51=4),0)),"")</f>
        <v/>
      </c>
      <c r="W9" s="26">
        <f>IFERROR(INDEX(Classifiche!$AB$4:$AB$51,MATCH(1,(Classifiche!$A$4:$A$51="D")*(Classifiche!$L$4:$L$51=4),0)),"")</f>
        <v/>
      </c>
      <c r="Y9" s="26" t="n">
        <v>4</v>
      </c>
      <c r="Z9" s="27">
        <f>IFERROR(INDEX(Classifiche!$B$4:$B$51,MATCH(1,(Classifiche!$A$4:$A$51="E")*(Classifiche!$L$4:$L$51=4),0)),"")</f>
        <v/>
      </c>
      <c r="AA9" s="26">
        <f>IFERROR(INDEX(Classifiche!$I$4:$I$51,MATCH(1,(Classifiche!$A$4:$A$51="E")*(Classifiche!$L$4:$L$51=4),0)),"")</f>
        <v/>
      </c>
      <c r="AB9" s="26">
        <f>IFERROR(INDEX(Classifiche!$AA$4:$AA$51,MATCH(1,(Classifiche!$A$4:$A$51="E")*(Classifiche!$L$4:$L$51=4),0)),"")</f>
        <v/>
      </c>
      <c r="AC9" s="26">
        <f>IFERROR(INDEX(Classifiche!$AB$4:$AB$51,MATCH(1,(Classifiche!$A$4:$A$51="E")*(Classifiche!$L$4:$L$51=4),0)),"")</f>
        <v/>
      </c>
      <c r="AE9" s="26" t="n">
        <v>4</v>
      </c>
      <c r="AF9" s="27">
        <f>IFERROR(INDEX(Classifiche!$B$4:$B$51,MATCH(1,(Classifiche!$A$4:$A$51="F")*(Classifiche!$L$4:$L$51=4),0)),"")</f>
        <v/>
      </c>
      <c r="AG9" s="26">
        <f>IFERROR(INDEX(Classifiche!$I$4:$I$51,MATCH(1,(Classifiche!$A$4:$A$51="F")*(Classifiche!$L$4:$L$51=4),0)),"")</f>
        <v/>
      </c>
      <c r="AH9" s="26">
        <f>IFERROR(INDEX(Classifiche!$AA$4:$AA$51,MATCH(1,(Classifiche!$A$4:$A$51="F")*(Classifiche!$L$4:$L$51=4),0)),"")</f>
        <v/>
      </c>
      <c r="AI9" s="26">
        <f>IFERROR(INDEX(Classifiche!$AB$4:$AB$51,MATCH(1,(Classifiche!$A$4:$A$51="F")*(Classifiche!$L$4:$L$51=4),0)),"")</f>
        <v/>
      </c>
      <c r="AN9">
        <f>IFERROR(INDEX(Classifiche!$AC$4:$AC$51,MATCH(1,(Classifiche!$A$4:$A$51="A")*(Classifiche!$L$4:$L$51=4),0)),0)</f>
        <v/>
      </c>
      <c r="AO9">
        <f>IFERROR(INDEX(Classifiche!$AC$4:$AC$51,MATCH(1,(Classifiche!$A$4:$A$51="B")*(Classifiche!$L$4:$L$51=4),0)),0)</f>
        <v/>
      </c>
      <c r="AP9">
        <f>IFERROR(INDEX(Classifiche!$AC$4:$AC$51,MATCH(1,(Classifiche!$A$4:$A$51="C")*(Classifiche!$L$4:$L$51=4),0)),0)</f>
        <v/>
      </c>
      <c r="AQ9">
        <f>IFERROR(INDEX(Classifiche!$AC$4:$AC$51,MATCH(1,(Classifiche!$A$4:$A$51="D")*(Classifiche!$L$4:$L$51=4),0)),0)</f>
        <v/>
      </c>
      <c r="AR9">
        <f>IFERROR(INDEX(Classifiche!$AC$4:$AC$51,MATCH(1,(Classifiche!$A$4:$A$51="E")*(Classifiche!$L$4:$L$51=4),0)),0)</f>
        <v/>
      </c>
      <c r="AS9">
        <f>IFERROR(INDEX(Classifiche!$AC$4:$AC$51,MATCH(1,(Classifiche!$A$4:$A$51="F")*(Classifiche!$L$4:$L$51=4),0)),0)</f>
        <v/>
      </c>
    </row>
    <row r="11">
      <c r="A11" s="5" t="inlineStr">
        <is>
          <t>GIRONE G</t>
        </is>
      </c>
      <c r="G11" s="5" t="inlineStr">
        <is>
          <t>GIRONE H</t>
        </is>
      </c>
      <c r="M11" s="5" t="inlineStr">
        <is>
          <t>GIRONE I</t>
        </is>
      </c>
      <c r="S11" s="5" t="inlineStr">
        <is>
          <t>GIRONE J</t>
        </is>
      </c>
      <c r="Y11" s="5" t="inlineStr">
        <is>
          <t>GIRONE K</t>
        </is>
      </c>
      <c r="AE11" s="5" t="inlineStr">
        <is>
          <t>GIRONE L</t>
        </is>
      </c>
    </row>
    <row r="12">
      <c r="A12" s="6" t="inlineStr">
        <is>
          <t>Pos</t>
        </is>
      </c>
      <c r="B12" s="6" t="inlineStr">
        <is>
          <t>Squadra</t>
        </is>
      </c>
      <c r="C12" s="6" t="inlineStr">
        <is>
          <t>Pti</t>
        </is>
      </c>
      <c r="D12" s="6" t="inlineStr">
        <is>
          <t>Rim</t>
        </is>
      </c>
      <c r="E12" s="6" t="inlineStr"/>
      <c r="G12" s="6" t="inlineStr">
        <is>
          <t>Pos</t>
        </is>
      </c>
      <c r="H12" s="6" t="inlineStr">
        <is>
          <t>Squadra</t>
        </is>
      </c>
      <c r="I12" s="6" t="inlineStr">
        <is>
          <t>Pti</t>
        </is>
      </c>
      <c r="J12" s="6" t="inlineStr">
        <is>
          <t>Rim</t>
        </is>
      </c>
      <c r="K12" s="6" t="inlineStr"/>
      <c r="M12" s="6" t="inlineStr">
        <is>
          <t>Pos</t>
        </is>
      </c>
      <c r="N12" s="6" t="inlineStr">
        <is>
          <t>Squadra</t>
        </is>
      </c>
      <c r="O12" s="6" t="inlineStr">
        <is>
          <t>Pti</t>
        </is>
      </c>
      <c r="P12" s="6" t="inlineStr">
        <is>
          <t>Rim</t>
        </is>
      </c>
      <c r="Q12" s="6" t="inlineStr"/>
      <c r="S12" s="6" t="inlineStr">
        <is>
          <t>Pos</t>
        </is>
      </c>
      <c r="T12" s="6" t="inlineStr">
        <is>
          <t>Squadra</t>
        </is>
      </c>
      <c r="U12" s="6" t="inlineStr">
        <is>
          <t>Pti</t>
        </is>
      </c>
      <c r="V12" s="6" t="inlineStr">
        <is>
          <t>Rim</t>
        </is>
      </c>
      <c r="W12" s="6" t="inlineStr"/>
      <c r="Y12" s="6" t="inlineStr">
        <is>
          <t>Pos</t>
        </is>
      </c>
      <c r="Z12" s="6" t="inlineStr">
        <is>
          <t>Squadra</t>
        </is>
      </c>
      <c r="AA12" s="6" t="inlineStr">
        <is>
          <t>Pti</t>
        </is>
      </c>
      <c r="AB12" s="6" t="inlineStr">
        <is>
          <t>Rim</t>
        </is>
      </c>
      <c r="AC12" s="6" t="inlineStr"/>
      <c r="AE12" s="6" t="inlineStr">
        <is>
          <t>Pos</t>
        </is>
      </c>
      <c r="AF12" s="6" t="inlineStr">
        <is>
          <t>Squadra</t>
        </is>
      </c>
      <c r="AG12" s="6" t="inlineStr">
        <is>
          <t>Pti</t>
        </is>
      </c>
      <c r="AH12" s="6" t="inlineStr">
        <is>
          <t>Rim</t>
        </is>
      </c>
      <c r="AI12" s="6" t="inlineStr"/>
    </row>
    <row r="13">
      <c r="A13" s="26" t="n">
        <v>1</v>
      </c>
      <c r="B13" s="27">
        <f>IFERROR(INDEX(Classifiche!$B$4:$B$51,MATCH(1,(Classifiche!$A$4:$A$51="G")*(Classifiche!$L$4:$L$51=1),0)),"")</f>
        <v/>
      </c>
      <c r="C13" s="26">
        <f>IFERROR(INDEX(Classifiche!$I$4:$I$51,MATCH(1,(Classifiche!$A$4:$A$51="G")*(Classifiche!$L$4:$L$51=1),0)),"")</f>
        <v/>
      </c>
      <c r="D13" s="26">
        <f>IFERROR(INDEX(Classifiche!$AA$4:$AA$51,MATCH(1,(Classifiche!$A$4:$A$51="G")*(Classifiche!$L$4:$L$51=1),0)),"")</f>
        <v/>
      </c>
      <c r="E13" s="26">
        <f>IFERROR(INDEX(Classifiche!$AB$4:$AB$51,MATCH(1,(Classifiche!$A$4:$A$51="G")*(Classifiche!$L$4:$L$51=1),0)),"")</f>
        <v/>
      </c>
      <c r="G13" s="26" t="n">
        <v>1</v>
      </c>
      <c r="H13" s="27">
        <f>IFERROR(INDEX(Classifiche!$B$4:$B$51,MATCH(1,(Classifiche!$A$4:$A$51="H")*(Classifiche!$L$4:$L$51=1),0)),"")</f>
        <v/>
      </c>
      <c r="I13" s="26">
        <f>IFERROR(INDEX(Classifiche!$I$4:$I$51,MATCH(1,(Classifiche!$A$4:$A$51="H")*(Classifiche!$L$4:$L$51=1),0)),"")</f>
        <v/>
      </c>
      <c r="J13" s="26">
        <f>IFERROR(INDEX(Classifiche!$AA$4:$AA$51,MATCH(1,(Classifiche!$A$4:$A$51="H")*(Classifiche!$L$4:$L$51=1),0)),"")</f>
        <v/>
      </c>
      <c r="K13" s="26">
        <f>IFERROR(INDEX(Classifiche!$AB$4:$AB$51,MATCH(1,(Classifiche!$A$4:$A$51="H")*(Classifiche!$L$4:$L$51=1),0)),"")</f>
        <v/>
      </c>
      <c r="M13" s="26" t="n">
        <v>1</v>
      </c>
      <c r="N13" s="27">
        <f>IFERROR(INDEX(Classifiche!$B$4:$B$51,MATCH(1,(Classifiche!$A$4:$A$51="I")*(Classifiche!$L$4:$L$51=1),0)),"")</f>
        <v/>
      </c>
      <c r="O13" s="26">
        <f>IFERROR(INDEX(Classifiche!$I$4:$I$51,MATCH(1,(Classifiche!$A$4:$A$51="I")*(Classifiche!$L$4:$L$51=1),0)),"")</f>
        <v/>
      </c>
      <c r="P13" s="26">
        <f>IFERROR(INDEX(Classifiche!$AA$4:$AA$51,MATCH(1,(Classifiche!$A$4:$A$51="I")*(Classifiche!$L$4:$L$51=1),0)),"")</f>
        <v/>
      </c>
      <c r="Q13" s="26">
        <f>IFERROR(INDEX(Classifiche!$AB$4:$AB$51,MATCH(1,(Classifiche!$A$4:$A$51="I")*(Classifiche!$L$4:$L$51=1),0)),"")</f>
        <v/>
      </c>
      <c r="S13" s="26" t="n">
        <v>1</v>
      </c>
      <c r="T13" s="27">
        <f>IFERROR(INDEX(Classifiche!$B$4:$B$51,MATCH(1,(Classifiche!$A$4:$A$51="J")*(Classifiche!$L$4:$L$51=1),0)),"")</f>
        <v/>
      </c>
      <c r="U13" s="26">
        <f>IFERROR(INDEX(Classifiche!$I$4:$I$51,MATCH(1,(Classifiche!$A$4:$A$51="J")*(Classifiche!$L$4:$L$51=1),0)),"")</f>
        <v/>
      </c>
      <c r="V13" s="26">
        <f>IFERROR(INDEX(Classifiche!$AA$4:$AA$51,MATCH(1,(Classifiche!$A$4:$A$51="J")*(Classifiche!$L$4:$L$51=1),0)),"")</f>
        <v/>
      </c>
      <c r="W13" s="26">
        <f>IFERROR(INDEX(Classifiche!$AB$4:$AB$51,MATCH(1,(Classifiche!$A$4:$A$51="J")*(Classifiche!$L$4:$L$51=1),0)),"")</f>
        <v/>
      </c>
      <c r="Y13" s="26" t="n">
        <v>1</v>
      </c>
      <c r="Z13" s="27">
        <f>IFERROR(INDEX(Classifiche!$B$4:$B$51,MATCH(1,(Classifiche!$A$4:$A$51="K")*(Classifiche!$L$4:$L$51=1),0)),"")</f>
        <v/>
      </c>
      <c r="AA13" s="26">
        <f>IFERROR(INDEX(Classifiche!$I$4:$I$51,MATCH(1,(Classifiche!$A$4:$A$51="K")*(Classifiche!$L$4:$L$51=1),0)),"")</f>
        <v/>
      </c>
      <c r="AB13" s="26">
        <f>IFERROR(INDEX(Classifiche!$AA$4:$AA$51,MATCH(1,(Classifiche!$A$4:$A$51="K")*(Classifiche!$L$4:$L$51=1),0)),"")</f>
        <v/>
      </c>
      <c r="AC13" s="26">
        <f>IFERROR(INDEX(Classifiche!$AB$4:$AB$51,MATCH(1,(Classifiche!$A$4:$A$51="K")*(Classifiche!$L$4:$L$51=1),0)),"")</f>
        <v/>
      </c>
      <c r="AE13" s="26" t="n">
        <v>1</v>
      </c>
      <c r="AF13" s="27">
        <f>IFERROR(INDEX(Classifiche!$B$4:$B$51,MATCH(1,(Classifiche!$A$4:$A$51="L")*(Classifiche!$L$4:$L$51=1),0)),"")</f>
        <v/>
      </c>
      <c r="AG13" s="26">
        <f>IFERROR(INDEX(Classifiche!$I$4:$I$51,MATCH(1,(Classifiche!$A$4:$A$51="L")*(Classifiche!$L$4:$L$51=1),0)),"")</f>
        <v/>
      </c>
      <c r="AH13" s="26">
        <f>IFERROR(INDEX(Classifiche!$AA$4:$AA$51,MATCH(1,(Classifiche!$A$4:$A$51="L")*(Classifiche!$L$4:$L$51=1),0)),"")</f>
        <v/>
      </c>
      <c r="AI13" s="26">
        <f>IFERROR(INDEX(Classifiche!$AB$4:$AB$51,MATCH(1,(Classifiche!$A$4:$A$51="L")*(Classifiche!$L$4:$L$51=1),0)),"")</f>
        <v/>
      </c>
      <c r="AN13">
        <f>IFERROR(INDEX(Classifiche!$AC$4:$AC$51,MATCH(1,(Classifiche!$A$4:$A$51="G")*(Classifiche!$L$4:$L$51=1),0)),0)</f>
        <v/>
      </c>
      <c r="AO13">
        <f>IFERROR(INDEX(Classifiche!$AC$4:$AC$51,MATCH(1,(Classifiche!$A$4:$A$51="H")*(Classifiche!$L$4:$L$51=1),0)),0)</f>
        <v/>
      </c>
      <c r="AP13">
        <f>IFERROR(INDEX(Classifiche!$AC$4:$AC$51,MATCH(1,(Classifiche!$A$4:$A$51="I")*(Classifiche!$L$4:$L$51=1),0)),0)</f>
        <v/>
      </c>
      <c r="AQ13">
        <f>IFERROR(INDEX(Classifiche!$AC$4:$AC$51,MATCH(1,(Classifiche!$A$4:$A$51="J")*(Classifiche!$L$4:$L$51=1),0)),0)</f>
        <v/>
      </c>
      <c r="AR13">
        <f>IFERROR(INDEX(Classifiche!$AC$4:$AC$51,MATCH(1,(Classifiche!$A$4:$A$51="K")*(Classifiche!$L$4:$L$51=1),0)),0)</f>
        <v/>
      </c>
      <c r="AS13">
        <f>IFERROR(INDEX(Classifiche!$AC$4:$AC$51,MATCH(1,(Classifiche!$A$4:$A$51="L")*(Classifiche!$L$4:$L$51=1),0)),0)</f>
        <v/>
      </c>
    </row>
    <row r="14">
      <c r="A14" s="26" t="n">
        <v>2</v>
      </c>
      <c r="B14" s="27">
        <f>IFERROR(INDEX(Classifiche!$B$4:$B$51,MATCH(1,(Classifiche!$A$4:$A$51="G")*(Classifiche!$L$4:$L$51=2),0)),"")</f>
        <v/>
      </c>
      <c r="C14" s="26">
        <f>IFERROR(INDEX(Classifiche!$I$4:$I$51,MATCH(1,(Classifiche!$A$4:$A$51="G")*(Classifiche!$L$4:$L$51=2),0)),"")</f>
        <v/>
      </c>
      <c r="D14" s="26">
        <f>IFERROR(INDEX(Classifiche!$AA$4:$AA$51,MATCH(1,(Classifiche!$A$4:$A$51="G")*(Classifiche!$L$4:$L$51=2),0)),"")</f>
        <v/>
      </c>
      <c r="E14" s="26">
        <f>IFERROR(INDEX(Classifiche!$AB$4:$AB$51,MATCH(1,(Classifiche!$A$4:$A$51="G")*(Classifiche!$L$4:$L$51=2),0)),"")</f>
        <v/>
      </c>
      <c r="G14" s="26" t="n">
        <v>2</v>
      </c>
      <c r="H14" s="27">
        <f>IFERROR(INDEX(Classifiche!$B$4:$B$51,MATCH(1,(Classifiche!$A$4:$A$51="H")*(Classifiche!$L$4:$L$51=2),0)),"")</f>
        <v/>
      </c>
      <c r="I14" s="26">
        <f>IFERROR(INDEX(Classifiche!$I$4:$I$51,MATCH(1,(Classifiche!$A$4:$A$51="H")*(Classifiche!$L$4:$L$51=2),0)),"")</f>
        <v/>
      </c>
      <c r="J14" s="26">
        <f>IFERROR(INDEX(Classifiche!$AA$4:$AA$51,MATCH(1,(Classifiche!$A$4:$A$51="H")*(Classifiche!$L$4:$L$51=2),0)),"")</f>
        <v/>
      </c>
      <c r="K14" s="26">
        <f>IFERROR(INDEX(Classifiche!$AB$4:$AB$51,MATCH(1,(Classifiche!$A$4:$A$51="H")*(Classifiche!$L$4:$L$51=2),0)),"")</f>
        <v/>
      </c>
      <c r="M14" s="26" t="n">
        <v>2</v>
      </c>
      <c r="N14" s="27">
        <f>IFERROR(INDEX(Classifiche!$B$4:$B$51,MATCH(1,(Classifiche!$A$4:$A$51="I")*(Classifiche!$L$4:$L$51=2),0)),"")</f>
        <v/>
      </c>
      <c r="O14" s="26">
        <f>IFERROR(INDEX(Classifiche!$I$4:$I$51,MATCH(1,(Classifiche!$A$4:$A$51="I")*(Classifiche!$L$4:$L$51=2),0)),"")</f>
        <v/>
      </c>
      <c r="P14" s="26">
        <f>IFERROR(INDEX(Classifiche!$AA$4:$AA$51,MATCH(1,(Classifiche!$A$4:$A$51="I")*(Classifiche!$L$4:$L$51=2),0)),"")</f>
        <v/>
      </c>
      <c r="Q14" s="26">
        <f>IFERROR(INDEX(Classifiche!$AB$4:$AB$51,MATCH(1,(Classifiche!$A$4:$A$51="I")*(Classifiche!$L$4:$L$51=2),0)),"")</f>
        <v/>
      </c>
      <c r="S14" s="26" t="n">
        <v>2</v>
      </c>
      <c r="T14" s="27">
        <f>IFERROR(INDEX(Classifiche!$B$4:$B$51,MATCH(1,(Classifiche!$A$4:$A$51="J")*(Classifiche!$L$4:$L$51=2),0)),"")</f>
        <v/>
      </c>
      <c r="U14" s="26">
        <f>IFERROR(INDEX(Classifiche!$I$4:$I$51,MATCH(1,(Classifiche!$A$4:$A$51="J")*(Classifiche!$L$4:$L$51=2),0)),"")</f>
        <v/>
      </c>
      <c r="V14" s="26">
        <f>IFERROR(INDEX(Classifiche!$AA$4:$AA$51,MATCH(1,(Classifiche!$A$4:$A$51="J")*(Classifiche!$L$4:$L$51=2),0)),"")</f>
        <v/>
      </c>
      <c r="W14" s="26">
        <f>IFERROR(INDEX(Classifiche!$AB$4:$AB$51,MATCH(1,(Classifiche!$A$4:$A$51="J")*(Classifiche!$L$4:$L$51=2),0)),"")</f>
        <v/>
      </c>
      <c r="Y14" s="26" t="n">
        <v>2</v>
      </c>
      <c r="Z14" s="27">
        <f>IFERROR(INDEX(Classifiche!$B$4:$B$51,MATCH(1,(Classifiche!$A$4:$A$51="K")*(Classifiche!$L$4:$L$51=2),0)),"")</f>
        <v/>
      </c>
      <c r="AA14" s="26">
        <f>IFERROR(INDEX(Classifiche!$I$4:$I$51,MATCH(1,(Classifiche!$A$4:$A$51="K")*(Classifiche!$L$4:$L$51=2),0)),"")</f>
        <v/>
      </c>
      <c r="AB14" s="26">
        <f>IFERROR(INDEX(Classifiche!$AA$4:$AA$51,MATCH(1,(Classifiche!$A$4:$A$51="K")*(Classifiche!$L$4:$L$51=2),0)),"")</f>
        <v/>
      </c>
      <c r="AC14" s="26">
        <f>IFERROR(INDEX(Classifiche!$AB$4:$AB$51,MATCH(1,(Classifiche!$A$4:$A$51="K")*(Classifiche!$L$4:$L$51=2),0)),"")</f>
        <v/>
      </c>
      <c r="AE14" s="26" t="n">
        <v>2</v>
      </c>
      <c r="AF14" s="27">
        <f>IFERROR(INDEX(Classifiche!$B$4:$B$51,MATCH(1,(Classifiche!$A$4:$A$51="L")*(Classifiche!$L$4:$L$51=2),0)),"")</f>
        <v/>
      </c>
      <c r="AG14" s="26">
        <f>IFERROR(INDEX(Classifiche!$I$4:$I$51,MATCH(1,(Classifiche!$A$4:$A$51="L")*(Classifiche!$L$4:$L$51=2),0)),"")</f>
        <v/>
      </c>
      <c r="AH14" s="26">
        <f>IFERROR(INDEX(Classifiche!$AA$4:$AA$51,MATCH(1,(Classifiche!$A$4:$A$51="L")*(Classifiche!$L$4:$L$51=2),0)),"")</f>
        <v/>
      </c>
      <c r="AI14" s="26">
        <f>IFERROR(INDEX(Classifiche!$AB$4:$AB$51,MATCH(1,(Classifiche!$A$4:$A$51="L")*(Classifiche!$L$4:$L$51=2),0)),"")</f>
        <v/>
      </c>
      <c r="AN14">
        <f>IFERROR(INDEX(Classifiche!$AC$4:$AC$51,MATCH(1,(Classifiche!$A$4:$A$51="G")*(Classifiche!$L$4:$L$51=2),0)),0)</f>
        <v/>
      </c>
      <c r="AO14">
        <f>IFERROR(INDEX(Classifiche!$AC$4:$AC$51,MATCH(1,(Classifiche!$A$4:$A$51="H")*(Classifiche!$L$4:$L$51=2),0)),0)</f>
        <v/>
      </c>
      <c r="AP14">
        <f>IFERROR(INDEX(Classifiche!$AC$4:$AC$51,MATCH(1,(Classifiche!$A$4:$A$51="I")*(Classifiche!$L$4:$L$51=2),0)),0)</f>
        <v/>
      </c>
      <c r="AQ14">
        <f>IFERROR(INDEX(Classifiche!$AC$4:$AC$51,MATCH(1,(Classifiche!$A$4:$A$51="J")*(Classifiche!$L$4:$L$51=2),0)),0)</f>
        <v/>
      </c>
      <c r="AR14">
        <f>IFERROR(INDEX(Classifiche!$AC$4:$AC$51,MATCH(1,(Classifiche!$A$4:$A$51="K")*(Classifiche!$L$4:$L$51=2),0)),0)</f>
        <v/>
      </c>
      <c r="AS14">
        <f>IFERROR(INDEX(Classifiche!$AC$4:$AC$51,MATCH(1,(Classifiche!$A$4:$A$51="L")*(Classifiche!$L$4:$L$51=2),0)),0)</f>
        <v/>
      </c>
    </row>
    <row r="15">
      <c r="A15" s="26" t="n">
        <v>3</v>
      </c>
      <c r="B15" s="27">
        <f>IFERROR(INDEX(Classifiche!$B$4:$B$51,MATCH(1,(Classifiche!$A$4:$A$51="G")*(Classifiche!$L$4:$L$51=3),0)),"")</f>
        <v/>
      </c>
      <c r="C15" s="26">
        <f>IFERROR(INDEX(Classifiche!$I$4:$I$51,MATCH(1,(Classifiche!$A$4:$A$51="G")*(Classifiche!$L$4:$L$51=3),0)),"")</f>
        <v/>
      </c>
      <c r="D15" s="26">
        <f>IFERROR(INDEX(Classifiche!$AA$4:$AA$51,MATCH(1,(Classifiche!$A$4:$A$51="G")*(Classifiche!$L$4:$L$51=3),0)),"")</f>
        <v/>
      </c>
      <c r="E15" s="26">
        <f>IFERROR(INDEX(Classifiche!$AB$4:$AB$51,MATCH(1,(Classifiche!$A$4:$A$51="G")*(Classifiche!$L$4:$L$51=3),0)),"")</f>
        <v/>
      </c>
      <c r="G15" s="26" t="n">
        <v>3</v>
      </c>
      <c r="H15" s="27">
        <f>IFERROR(INDEX(Classifiche!$B$4:$B$51,MATCH(1,(Classifiche!$A$4:$A$51="H")*(Classifiche!$L$4:$L$51=3),0)),"")</f>
        <v/>
      </c>
      <c r="I15" s="26">
        <f>IFERROR(INDEX(Classifiche!$I$4:$I$51,MATCH(1,(Classifiche!$A$4:$A$51="H")*(Classifiche!$L$4:$L$51=3),0)),"")</f>
        <v/>
      </c>
      <c r="J15" s="26">
        <f>IFERROR(INDEX(Classifiche!$AA$4:$AA$51,MATCH(1,(Classifiche!$A$4:$A$51="H")*(Classifiche!$L$4:$L$51=3),0)),"")</f>
        <v/>
      </c>
      <c r="K15" s="26">
        <f>IFERROR(INDEX(Classifiche!$AB$4:$AB$51,MATCH(1,(Classifiche!$A$4:$A$51="H")*(Classifiche!$L$4:$L$51=3),0)),"")</f>
        <v/>
      </c>
      <c r="M15" s="26" t="n">
        <v>3</v>
      </c>
      <c r="N15" s="27">
        <f>IFERROR(INDEX(Classifiche!$B$4:$B$51,MATCH(1,(Classifiche!$A$4:$A$51="I")*(Classifiche!$L$4:$L$51=3),0)),"")</f>
        <v/>
      </c>
      <c r="O15" s="26">
        <f>IFERROR(INDEX(Classifiche!$I$4:$I$51,MATCH(1,(Classifiche!$A$4:$A$51="I")*(Classifiche!$L$4:$L$51=3),0)),"")</f>
        <v/>
      </c>
      <c r="P15" s="26">
        <f>IFERROR(INDEX(Classifiche!$AA$4:$AA$51,MATCH(1,(Classifiche!$A$4:$A$51="I")*(Classifiche!$L$4:$L$51=3),0)),"")</f>
        <v/>
      </c>
      <c r="Q15" s="26">
        <f>IFERROR(INDEX(Classifiche!$AB$4:$AB$51,MATCH(1,(Classifiche!$A$4:$A$51="I")*(Classifiche!$L$4:$L$51=3),0)),"")</f>
        <v/>
      </c>
      <c r="S15" s="26" t="n">
        <v>3</v>
      </c>
      <c r="T15" s="27">
        <f>IFERROR(INDEX(Classifiche!$B$4:$B$51,MATCH(1,(Classifiche!$A$4:$A$51="J")*(Classifiche!$L$4:$L$51=3),0)),"")</f>
        <v/>
      </c>
      <c r="U15" s="26">
        <f>IFERROR(INDEX(Classifiche!$I$4:$I$51,MATCH(1,(Classifiche!$A$4:$A$51="J")*(Classifiche!$L$4:$L$51=3),0)),"")</f>
        <v/>
      </c>
      <c r="V15" s="26">
        <f>IFERROR(INDEX(Classifiche!$AA$4:$AA$51,MATCH(1,(Classifiche!$A$4:$A$51="J")*(Classifiche!$L$4:$L$51=3),0)),"")</f>
        <v/>
      </c>
      <c r="W15" s="26">
        <f>IFERROR(INDEX(Classifiche!$AB$4:$AB$51,MATCH(1,(Classifiche!$A$4:$A$51="J")*(Classifiche!$L$4:$L$51=3),0)),"")</f>
        <v/>
      </c>
      <c r="Y15" s="26" t="n">
        <v>3</v>
      </c>
      <c r="Z15" s="27">
        <f>IFERROR(INDEX(Classifiche!$B$4:$B$51,MATCH(1,(Classifiche!$A$4:$A$51="K")*(Classifiche!$L$4:$L$51=3),0)),"")</f>
        <v/>
      </c>
      <c r="AA15" s="26">
        <f>IFERROR(INDEX(Classifiche!$I$4:$I$51,MATCH(1,(Classifiche!$A$4:$A$51="K")*(Classifiche!$L$4:$L$51=3),0)),"")</f>
        <v/>
      </c>
      <c r="AB15" s="26">
        <f>IFERROR(INDEX(Classifiche!$AA$4:$AA$51,MATCH(1,(Classifiche!$A$4:$A$51="K")*(Classifiche!$L$4:$L$51=3),0)),"")</f>
        <v/>
      </c>
      <c r="AC15" s="26">
        <f>IFERROR(INDEX(Classifiche!$AB$4:$AB$51,MATCH(1,(Classifiche!$A$4:$A$51="K")*(Classifiche!$L$4:$L$51=3),0)),"")</f>
        <v/>
      </c>
      <c r="AE15" s="26" t="n">
        <v>3</v>
      </c>
      <c r="AF15" s="27">
        <f>IFERROR(INDEX(Classifiche!$B$4:$B$51,MATCH(1,(Classifiche!$A$4:$A$51="L")*(Classifiche!$L$4:$L$51=3),0)),"")</f>
        <v/>
      </c>
      <c r="AG15" s="26">
        <f>IFERROR(INDEX(Classifiche!$I$4:$I$51,MATCH(1,(Classifiche!$A$4:$A$51="L")*(Classifiche!$L$4:$L$51=3),0)),"")</f>
        <v/>
      </c>
      <c r="AH15" s="26">
        <f>IFERROR(INDEX(Classifiche!$AA$4:$AA$51,MATCH(1,(Classifiche!$A$4:$A$51="L")*(Classifiche!$L$4:$L$51=3),0)),"")</f>
        <v/>
      </c>
      <c r="AI15" s="26">
        <f>IFERROR(INDEX(Classifiche!$AB$4:$AB$51,MATCH(1,(Classifiche!$A$4:$A$51="L")*(Classifiche!$L$4:$L$51=3),0)),"")</f>
        <v/>
      </c>
      <c r="AN15">
        <f>IFERROR(INDEX(Classifiche!$AC$4:$AC$51,MATCH(1,(Classifiche!$A$4:$A$51="G")*(Classifiche!$L$4:$L$51=3),0)),0)</f>
        <v/>
      </c>
      <c r="AO15">
        <f>IFERROR(INDEX(Classifiche!$AC$4:$AC$51,MATCH(1,(Classifiche!$A$4:$A$51="H")*(Classifiche!$L$4:$L$51=3),0)),0)</f>
        <v/>
      </c>
      <c r="AP15">
        <f>IFERROR(INDEX(Classifiche!$AC$4:$AC$51,MATCH(1,(Classifiche!$A$4:$A$51="I")*(Classifiche!$L$4:$L$51=3),0)),0)</f>
        <v/>
      </c>
      <c r="AQ15">
        <f>IFERROR(INDEX(Classifiche!$AC$4:$AC$51,MATCH(1,(Classifiche!$A$4:$A$51="J")*(Classifiche!$L$4:$L$51=3),0)),0)</f>
        <v/>
      </c>
      <c r="AR15">
        <f>IFERROR(INDEX(Classifiche!$AC$4:$AC$51,MATCH(1,(Classifiche!$A$4:$A$51="K")*(Classifiche!$L$4:$L$51=3),0)),0)</f>
        <v/>
      </c>
      <c r="AS15">
        <f>IFERROR(INDEX(Classifiche!$AC$4:$AC$51,MATCH(1,(Classifiche!$A$4:$A$51="L")*(Classifiche!$L$4:$L$51=3),0)),0)</f>
        <v/>
      </c>
    </row>
    <row r="16">
      <c r="A16" s="26" t="n">
        <v>4</v>
      </c>
      <c r="B16" s="27">
        <f>IFERROR(INDEX(Classifiche!$B$4:$B$51,MATCH(1,(Classifiche!$A$4:$A$51="G")*(Classifiche!$L$4:$L$51=4),0)),"")</f>
        <v/>
      </c>
      <c r="C16" s="26">
        <f>IFERROR(INDEX(Classifiche!$I$4:$I$51,MATCH(1,(Classifiche!$A$4:$A$51="G")*(Classifiche!$L$4:$L$51=4),0)),"")</f>
        <v/>
      </c>
      <c r="D16" s="26">
        <f>IFERROR(INDEX(Classifiche!$AA$4:$AA$51,MATCH(1,(Classifiche!$A$4:$A$51="G")*(Classifiche!$L$4:$L$51=4),0)),"")</f>
        <v/>
      </c>
      <c r="E16" s="26">
        <f>IFERROR(INDEX(Classifiche!$AB$4:$AB$51,MATCH(1,(Classifiche!$A$4:$A$51="G")*(Classifiche!$L$4:$L$51=4),0)),"")</f>
        <v/>
      </c>
      <c r="G16" s="26" t="n">
        <v>4</v>
      </c>
      <c r="H16" s="27">
        <f>IFERROR(INDEX(Classifiche!$B$4:$B$51,MATCH(1,(Classifiche!$A$4:$A$51="H")*(Classifiche!$L$4:$L$51=4),0)),"")</f>
        <v/>
      </c>
      <c r="I16" s="26">
        <f>IFERROR(INDEX(Classifiche!$I$4:$I$51,MATCH(1,(Classifiche!$A$4:$A$51="H")*(Classifiche!$L$4:$L$51=4),0)),"")</f>
        <v/>
      </c>
      <c r="J16" s="26">
        <f>IFERROR(INDEX(Classifiche!$AA$4:$AA$51,MATCH(1,(Classifiche!$A$4:$A$51="H")*(Classifiche!$L$4:$L$51=4),0)),"")</f>
        <v/>
      </c>
      <c r="K16" s="26">
        <f>IFERROR(INDEX(Classifiche!$AB$4:$AB$51,MATCH(1,(Classifiche!$A$4:$A$51="H")*(Classifiche!$L$4:$L$51=4),0)),"")</f>
        <v/>
      </c>
      <c r="M16" s="26" t="n">
        <v>4</v>
      </c>
      <c r="N16" s="27">
        <f>IFERROR(INDEX(Classifiche!$B$4:$B$51,MATCH(1,(Classifiche!$A$4:$A$51="I")*(Classifiche!$L$4:$L$51=4),0)),"")</f>
        <v/>
      </c>
      <c r="O16" s="26">
        <f>IFERROR(INDEX(Classifiche!$I$4:$I$51,MATCH(1,(Classifiche!$A$4:$A$51="I")*(Classifiche!$L$4:$L$51=4),0)),"")</f>
        <v/>
      </c>
      <c r="P16" s="26">
        <f>IFERROR(INDEX(Classifiche!$AA$4:$AA$51,MATCH(1,(Classifiche!$A$4:$A$51="I")*(Classifiche!$L$4:$L$51=4),0)),"")</f>
        <v/>
      </c>
      <c r="Q16" s="26">
        <f>IFERROR(INDEX(Classifiche!$AB$4:$AB$51,MATCH(1,(Classifiche!$A$4:$A$51="I")*(Classifiche!$L$4:$L$51=4),0)),"")</f>
        <v/>
      </c>
      <c r="S16" s="26" t="n">
        <v>4</v>
      </c>
      <c r="T16" s="27">
        <f>IFERROR(INDEX(Classifiche!$B$4:$B$51,MATCH(1,(Classifiche!$A$4:$A$51="J")*(Classifiche!$L$4:$L$51=4),0)),"")</f>
        <v/>
      </c>
      <c r="U16" s="26">
        <f>IFERROR(INDEX(Classifiche!$I$4:$I$51,MATCH(1,(Classifiche!$A$4:$A$51="J")*(Classifiche!$L$4:$L$51=4),0)),"")</f>
        <v/>
      </c>
      <c r="V16" s="26">
        <f>IFERROR(INDEX(Classifiche!$AA$4:$AA$51,MATCH(1,(Classifiche!$A$4:$A$51="J")*(Classifiche!$L$4:$L$51=4),0)),"")</f>
        <v/>
      </c>
      <c r="W16" s="26">
        <f>IFERROR(INDEX(Classifiche!$AB$4:$AB$51,MATCH(1,(Classifiche!$A$4:$A$51="J")*(Classifiche!$L$4:$L$51=4),0)),"")</f>
        <v/>
      </c>
      <c r="Y16" s="26" t="n">
        <v>4</v>
      </c>
      <c r="Z16" s="27">
        <f>IFERROR(INDEX(Classifiche!$B$4:$B$51,MATCH(1,(Classifiche!$A$4:$A$51="K")*(Classifiche!$L$4:$L$51=4),0)),"")</f>
        <v/>
      </c>
      <c r="AA16" s="26">
        <f>IFERROR(INDEX(Classifiche!$I$4:$I$51,MATCH(1,(Classifiche!$A$4:$A$51="K")*(Classifiche!$L$4:$L$51=4),0)),"")</f>
        <v/>
      </c>
      <c r="AB16" s="26">
        <f>IFERROR(INDEX(Classifiche!$AA$4:$AA$51,MATCH(1,(Classifiche!$A$4:$A$51="K")*(Classifiche!$L$4:$L$51=4),0)),"")</f>
        <v/>
      </c>
      <c r="AC16" s="26">
        <f>IFERROR(INDEX(Classifiche!$AB$4:$AB$51,MATCH(1,(Classifiche!$A$4:$A$51="K")*(Classifiche!$L$4:$L$51=4),0)),"")</f>
        <v/>
      </c>
      <c r="AE16" s="26" t="n">
        <v>4</v>
      </c>
      <c r="AF16" s="27">
        <f>IFERROR(INDEX(Classifiche!$B$4:$B$51,MATCH(1,(Classifiche!$A$4:$A$51="L")*(Classifiche!$L$4:$L$51=4),0)),"")</f>
        <v/>
      </c>
      <c r="AG16" s="26">
        <f>IFERROR(INDEX(Classifiche!$I$4:$I$51,MATCH(1,(Classifiche!$A$4:$A$51="L")*(Classifiche!$L$4:$L$51=4),0)),"")</f>
        <v/>
      </c>
      <c r="AH16" s="26">
        <f>IFERROR(INDEX(Classifiche!$AA$4:$AA$51,MATCH(1,(Classifiche!$A$4:$A$51="L")*(Classifiche!$L$4:$L$51=4),0)),"")</f>
        <v/>
      </c>
      <c r="AI16" s="26">
        <f>IFERROR(INDEX(Classifiche!$AB$4:$AB$51,MATCH(1,(Classifiche!$A$4:$A$51="L")*(Classifiche!$L$4:$L$51=4),0)),"")</f>
        <v/>
      </c>
      <c r="AN16">
        <f>IFERROR(INDEX(Classifiche!$AC$4:$AC$51,MATCH(1,(Classifiche!$A$4:$A$51="G")*(Classifiche!$L$4:$L$51=4),0)),0)</f>
        <v/>
      </c>
      <c r="AO16">
        <f>IFERROR(INDEX(Classifiche!$AC$4:$AC$51,MATCH(1,(Classifiche!$A$4:$A$51="H")*(Classifiche!$L$4:$L$51=4),0)),0)</f>
        <v/>
      </c>
      <c r="AP16">
        <f>IFERROR(INDEX(Classifiche!$AC$4:$AC$51,MATCH(1,(Classifiche!$A$4:$A$51="I")*(Classifiche!$L$4:$L$51=4),0)),0)</f>
        <v/>
      </c>
      <c r="AQ16">
        <f>IFERROR(INDEX(Classifiche!$AC$4:$AC$51,MATCH(1,(Classifiche!$A$4:$A$51="J")*(Classifiche!$L$4:$L$51=4),0)),0)</f>
        <v/>
      </c>
      <c r="AR16">
        <f>IFERROR(INDEX(Classifiche!$AC$4:$AC$51,MATCH(1,(Classifiche!$A$4:$A$51="K")*(Classifiche!$L$4:$L$51=4),0)),0)</f>
        <v/>
      </c>
      <c r="AS16">
        <f>IFERROR(INDEX(Classifiche!$AC$4:$AC$51,MATCH(1,(Classifiche!$A$4:$A$51="L")*(Classifiche!$L$4:$L$51=4),0)),0)</f>
        <v/>
      </c>
    </row>
  </sheetData>
  <mergeCells count="12">
    <mergeCell ref="Y4:AC4"/>
    <mergeCell ref="AE4:AI4"/>
    <mergeCell ref="A4:E4"/>
    <mergeCell ref="M11:Q11"/>
    <mergeCell ref="S11:W11"/>
    <mergeCell ref="Y11:AC11"/>
    <mergeCell ref="A11:E11"/>
    <mergeCell ref="G11:K11"/>
    <mergeCell ref="AE11:AI11"/>
    <mergeCell ref="S4:W4"/>
    <mergeCell ref="G4:K4"/>
    <mergeCell ref="M4:Q4"/>
  </mergeCells>
  <conditionalFormatting sqref="A6:E9">
    <cfRule type="expression" priority="1" dxfId="0" stopIfTrue="1">
      <formula>=OR(AND($AN6=1,$A6&lt;=2),AND($AN6=-1,$A6&gt;2))</formula>
    </cfRule>
    <cfRule type="expression" priority="2" dxfId="1" stopIfTrue="1">
      <formula>=OR(AND($AN6=1,$A6&gt;2),AND($AN6=-1,$A6&lt;=2))</formula>
    </cfRule>
  </conditionalFormatting>
  <conditionalFormatting sqref="G6:K9">
    <cfRule type="expression" priority="3" dxfId="0" stopIfTrue="1">
      <formula>=OR(AND($AO6=1,$G6&lt;=2),AND($AO6=-1,$G6&gt;2))</formula>
    </cfRule>
    <cfRule type="expression" priority="4" dxfId="1" stopIfTrue="1">
      <formula>=OR(AND($AO6=1,$G6&gt;2),AND($AO6=-1,$G6&lt;=2))</formula>
    </cfRule>
  </conditionalFormatting>
  <conditionalFormatting sqref="M6:Q9">
    <cfRule type="expression" priority="5" dxfId="0" stopIfTrue="1">
      <formula>=OR(AND($AP6=1,$M6&lt;=2),AND($AP6=-1,$M6&gt;2))</formula>
    </cfRule>
    <cfRule type="expression" priority="6" dxfId="1" stopIfTrue="1">
      <formula>=OR(AND($AP6=1,$M6&gt;2),AND($AP6=-1,$M6&lt;=2))</formula>
    </cfRule>
  </conditionalFormatting>
  <conditionalFormatting sqref="S6:W9">
    <cfRule type="expression" priority="7" dxfId="0" stopIfTrue="1">
      <formula>=OR(AND($AQ6=1,$S6&lt;=2),AND($AQ6=-1,$S6&gt;2))</formula>
    </cfRule>
    <cfRule type="expression" priority="8" dxfId="1" stopIfTrue="1">
      <formula>=OR(AND($AQ6=1,$S6&gt;2),AND($AQ6=-1,$S6&lt;=2))</formula>
    </cfRule>
  </conditionalFormatting>
  <conditionalFormatting sqref="Y6:AC9">
    <cfRule type="expression" priority="9" dxfId="0" stopIfTrue="1">
      <formula>=OR(AND($AR6=1,$Y6&lt;=2),AND($AR6=-1,$Y6&gt;2))</formula>
    </cfRule>
    <cfRule type="expression" priority="10" dxfId="1" stopIfTrue="1">
      <formula>=OR(AND($AR6=1,$Y6&gt;2),AND($AR6=-1,$Y6&lt;=2))</formula>
    </cfRule>
  </conditionalFormatting>
  <conditionalFormatting sqref="AE6:AI9">
    <cfRule type="expression" priority="11" dxfId="0" stopIfTrue="1">
      <formula>=OR(AND($AS6=1,$AE6&lt;=2),AND($AS6=-1,$AE6&gt;2))</formula>
    </cfRule>
    <cfRule type="expression" priority="12" dxfId="1" stopIfTrue="1">
      <formula>=OR(AND($AS6=1,$AE6&gt;2),AND($AS6=-1,$AE6&lt;=2))</formula>
    </cfRule>
  </conditionalFormatting>
  <conditionalFormatting sqref="A13:E16">
    <cfRule type="expression" priority="13" dxfId="0" stopIfTrue="1">
      <formula>=OR(AND($AN13=1,$A13&lt;=2),AND($AN13=-1,$A13&gt;2))</formula>
    </cfRule>
    <cfRule type="expression" priority="14" dxfId="1" stopIfTrue="1">
      <formula>=OR(AND($AN13=1,$A13&gt;2),AND($AN13=-1,$A13&lt;=2))</formula>
    </cfRule>
  </conditionalFormatting>
  <conditionalFormatting sqref="G13:K16">
    <cfRule type="expression" priority="15" dxfId="0" stopIfTrue="1">
      <formula>=OR(AND($AO13=1,$G13&lt;=2),AND($AO13=-1,$G13&gt;2))</formula>
    </cfRule>
    <cfRule type="expression" priority="16" dxfId="1" stopIfTrue="1">
      <formula>=OR(AND($AO13=1,$G13&gt;2),AND($AO13=-1,$G13&lt;=2))</formula>
    </cfRule>
  </conditionalFormatting>
  <conditionalFormatting sqref="M13:Q16">
    <cfRule type="expression" priority="17" dxfId="0" stopIfTrue="1">
      <formula>=OR(AND($AP13=1,$M13&lt;=2),AND($AP13=-1,$M13&gt;2))</formula>
    </cfRule>
    <cfRule type="expression" priority="18" dxfId="1" stopIfTrue="1">
      <formula>=OR(AND($AP13=1,$M13&gt;2),AND($AP13=-1,$M13&lt;=2))</formula>
    </cfRule>
  </conditionalFormatting>
  <conditionalFormatting sqref="S13:W16">
    <cfRule type="expression" priority="19" dxfId="0" stopIfTrue="1">
      <formula>=OR(AND($AQ13=1,$S13&lt;=2),AND($AQ13=-1,$S13&gt;2))</formula>
    </cfRule>
    <cfRule type="expression" priority="20" dxfId="1" stopIfTrue="1">
      <formula>=OR(AND($AQ13=1,$S13&gt;2),AND($AQ13=-1,$S13&lt;=2))</formula>
    </cfRule>
  </conditionalFormatting>
  <conditionalFormatting sqref="Y13:AC16">
    <cfRule type="expression" priority="21" dxfId="0" stopIfTrue="1">
      <formula>=OR(AND($AR13=1,$Y13&lt;=2),AND($AR13=-1,$Y13&gt;2))</formula>
    </cfRule>
    <cfRule type="expression" priority="22" dxfId="1" stopIfTrue="1">
      <formula>=OR(AND($AR13=1,$Y13&gt;2),AND($AR13=-1,$Y13&lt;=2))</formula>
    </cfRule>
  </conditionalFormatting>
  <conditionalFormatting sqref="AE13:AI16">
    <cfRule type="expression" priority="23" dxfId="0" stopIfTrue="1">
      <formula>=OR(AND($AS13=1,$AE13&lt;=2),AND($AS13=-1,$AE13&gt;2))</formula>
    </cfRule>
    <cfRule type="expression" priority="24" dxfId="1" stopIfTrue="1">
      <formula>=OR(AND($AS13=1,$AE13&gt;2),AND($AS13=-1,$AE13&lt;=2))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16" customWidth="1" min="4" max="4"/>
    <col width="16" customWidth="1" min="5" max="5"/>
    <col width="7" customWidth="1" min="6" max="6"/>
    <col width="7" customWidth="1" min="7" max="7"/>
    <col width="7" customWidth="1" min="8" max="8"/>
    <col width="8" customWidth="1" min="9" max="9"/>
    <col width="8" customWidth="1" min="10" max="10"/>
    <col width="8" customWidth="1" min="11" max="11"/>
    <col width="8" customWidth="1" min="12" max="12"/>
    <col width="13" customWidth="1" min="13" max="13"/>
    <col width="9" customWidth="1" min="14" max="14"/>
    <col width="16" customWidth="1" min="15" max="15"/>
    <col width="10" customWidth="1" min="16" max="16"/>
    <col hidden="1" width="13" customWidth="1" min="17" max="17"/>
    <col hidden="1" width="13" customWidth="1" min="18" max="18"/>
    <col hidden="1" width="13" customWidth="1" min="19" max="19"/>
  </cols>
  <sheetData>
    <row r="1">
      <c r="A1" s="28" t="inlineStr">
        <is>
          <t>N. bolletta</t>
        </is>
      </c>
      <c r="B1" s="28" t="inlineStr">
        <is>
          <t>Indice</t>
        </is>
      </c>
      <c r="C1" s="28" t="inlineStr">
        <is>
          <t>Gruppo</t>
        </is>
      </c>
      <c r="D1" s="28" t="inlineStr">
        <is>
          <t>Prima squadra</t>
        </is>
      </c>
      <c r="E1" s="28" t="inlineStr">
        <is>
          <t>Seconda squadra</t>
        </is>
      </c>
      <c r="F1" s="28" t="inlineStr">
        <is>
          <t>Quota</t>
        </is>
      </c>
      <c r="G1" s="28" t="inlineStr">
        <is>
          <t>Pos 1a</t>
        </is>
      </c>
      <c r="H1" s="28" t="inlineStr">
        <is>
          <t>Pos 2a</t>
        </is>
      </c>
      <c r="I1" s="28" t="inlineStr">
        <is>
          <t>Qual 1a</t>
        </is>
      </c>
      <c r="J1" s="28" t="inlineStr">
        <is>
          <t>Qual 2a</t>
        </is>
      </c>
      <c r="K1" s="28" t="inlineStr">
        <is>
          <t>Elim 1a</t>
        </is>
      </c>
      <c r="L1" s="28" t="inlineStr">
        <is>
          <t>Elim 2a</t>
        </is>
      </c>
      <c r="M1" s="28" t="inlineStr">
        <is>
          <t>Girone chiuso</t>
        </is>
      </c>
      <c r="N1" s="28" t="inlineStr">
        <is>
          <t>Entrambe</t>
        </is>
      </c>
      <c r="O1" s="28" t="inlineStr">
        <is>
          <t>STATO</t>
        </is>
      </c>
      <c r="P1" s="28" t="inlineStr">
        <is>
          <t>Definitivo</t>
        </is>
      </c>
      <c r="Q1" s="28" t="inlineStr">
        <is>
          <t>_q</t>
        </is>
      </c>
      <c r="R1" s="28" t="inlineStr">
        <is>
          <t>_dead</t>
        </is>
      </c>
      <c r="S1" s="28" t="inlineStr">
        <is>
          <t>_code</t>
        </is>
      </c>
    </row>
    <row r="2">
      <c r="A2" s="26" t="n">
        <v>1</v>
      </c>
      <c r="B2" s="26" t="n">
        <v>1</v>
      </c>
      <c r="C2" s="26" t="inlineStr">
        <is>
          <t>C</t>
        </is>
      </c>
      <c r="D2" s="25" t="inlineStr">
        <is>
          <t>Brasile</t>
        </is>
      </c>
      <c r="E2" s="25" t="inlineStr">
        <is>
          <t>Scozia</t>
        </is>
      </c>
      <c r="F2" s="29" t="n">
        <v>2.25</v>
      </c>
      <c r="G2" s="26">
        <f>IFERROR(INDEX(Classifiche!$L$4:$L$51,MATCH(D2,Classifiche!$B$4:$B$51,0)),"")</f>
        <v/>
      </c>
      <c r="H2" s="26">
        <f>IFERROR(INDEX(Classifiche!$L$4:$L$51,MATCH(E2,Classifiche!$B$4:$B$51,0)),"")</f>
        <v/>
      </c>
      <c r="I2" s="26">
        <f>IFERROR(INDEX(Classifiche!$M$4:$M$51,MATCH(D2,Classifiche!$B$4:$B$51,0)),FALSE)</f>
        <v/>
      </c>
      <c r="J2" s="26">
        <f>IFERROR(INDEX(Classifiche!$M$4:$M$51,MATCH(E2,Classifiche!$B$4:$B$51,0)),FALSE)</f>
        <v/>
      </c>
      <c r="K2" s="26">
        <f>IFERROR(INDEX(Classifiche!$O$4:$O$51,MATCH(D2,Classifiche!$B$4:$B$51,0)),FALSE)</f>
        <v/>
      </c>
      <c r="L2" s="26">
        <f>IFERROR(INDEX(Classifiche!$O$4:$O$51,MATCH(E2,Classifiche!$B$4:$B$51,0)),FALSE)</f>
        <v/>
      </c>
      <c r="M2" s="26">
        <f>IFERROR(INDEX(Classifiche!$V$4:$V$15,MATCH(C2,Classifiche!$U$4:$U$15,0)),FALSE)</f>
        <v/>
      </c>
      <c r="N2" s="26">
        <f>AND(I2,J2)</f>
        <v/>
      </c>
      <c r="O2" s="25">
        <f>IF(N2,IF(M2,"VINTA (def.)","In vincita"),IF(OR(K2,L2,M2),"PERSA (def.)","In perdita"))</f>
        <v/>
      </c>
      <c r="P2" s="26">
        <f>IF(OR(AND(N2,M2),AND(NOT(N2),OR(K2,L2,M2))),"SI","NO")</f>
        <v/>
      </c>
      <c r="Q2">
        <f>IF(N2,1,0)</f>
        <v/>
      </c>
      <c r="R2">
        <f>IF(OR(K2,L2,AND(M2,NOT(N2))),1,0)</f>
        <v/>
      </c>
      <c r="S2">
        <f>IF(N2,IF(M2,2,1),IF(OR(K2,L2,M2),-2,-1))</f>
        <v/>
      </c>
    </row>
    <row r="3">
      <c r="A3" s="26" t="n">
        <v>1</v>
      </c>
      <c r="B3" s="26" t="n">
        <v>2</v>
      </c>
      <c r="C3" s="26" t="inlineStr">
        <is>
          <t>E</t>
        </is>
      </c>
      <c r="D3" s="25" t="inlineStr">
        <is>
          <t>Germania</t>
        </is>
      </c>
      <c r="E3" s="25" t="inlineStr">
        <is>
          <t>Ecuador</t>
        </is>
      </c>
      <c r="F3" s="29" t="n">
        <v>1.65</v>
      </c>
      <c r="G3" s="26">
        <f>IFERROR(INDEX(Classifiche!$L$4:$L$51,MATCH(D3,Classifiche!$B$4:$B$51,0)),"")</f>
        <v/>
      </c>
      <c r="H3" s="26">
        <f>IFERROR(INDEX(Classifiche!$L$4:$L$51,MATCH(E3,Classifiche!$B$4:$B$51,0)),"")</f>
        <v/>
      </c>
      <c r="I3" s="26">
        <f>IFERROR(INDEX(Classifiche!$M$4:$M$51,MATCH(D3,Classifiche!$B$4:$B$51,0)),FALSE)</f>
        <v/>
      </c>
      <c r="J3" s="26">
        <f>IFERROR(INDEX(Classifiche!$M$4:$M$51,MATCH(E3,Classifiche!$B$4:$B$51,0)),FALSE)</f>
        <v/>
      </c>
      <c r="K3" s="26">
        <f>IFERROR(INDEX(Classifiche!$O$4:$O$51,MATCH(D3,Classifiche!$B$4:$B$51,0)),FALSE)</f>
        <v/>
      </c>
      <c r="L3" s="26">
        <f>IFERROR(INDEX(Classifiche!$O$4:$O$51,MATCH(E3,Classifiche!$B$4:$B$51,0)),FALSE)</f>
        <v/>
      </c>
      <c r="M3" s="26">
        <f>IFERROR(INDEX(Classifiche!$V$4:$V$15,MATCH(C3,Classifiche!$U$4:$U$15,0)),FALSE)</f>
        <v/>
      </c>
      <c r="N3" s="26">
        <f>AND(I3,J3)</f>
        <v/>
      </c>
      <c r="O3" s="25">
        <f>IF(N3,IF(M3,"VINTA (def.)","In vincita"),IF(OR(K3,L3,M3),"PERSA (def.)","In perdita"))</f>
        <v/>
      </c>
      <c r="P3" s="26">
        <f>IF(OR(AND(N3,M3),AND(NOT(N3),OR(K3,L3,M3))),"SI","NO")</f>
        <v/>
      </c>
      <c r="Q3">
        <f>IF(N3,1,0)</f>
        <v/>
      </c>
      <c r="R3">
        <f>IF(OR(K3,L3,AND(M3,NOT(N3))),1,0)</f>
        <v/>
      </c>
      <c r="S3">
        <f>IF(N3,IF(M3,2,1),IF(OR(K3,L3,M3),-2,-1))</f>
        <v/>
      </c>
    </row>
    <row r="4">
      <c r="A4" s="26" t="n">
        <v>1</v>
      </c>
      <c r="B4" s="26" t="n">
        <v>3</v>
      </c>
      <c r="C4" s="26" t="inlineStr">
        <is>
          <t>F</t>
        </is>
      </c>
      <c r="D4" s="25" t="inlineStr">
        <is>
          <t>Olanda</t>
        </is>
      </c>
      <c r="E4" s="25" t="inlineStr">
        <is>
          <t>Giappone</t>
        </is>
      </c>
      <c r="F4" s="29" t="n">
        <v>2.25</v>
      </c>
      <c r="G4" s="26">
        <f>IFERROR(INDEX(Classifiche!$L$4:$L$51,MATCH(D4,Classifiche!$B$4:$B$51,0)),"")</f>
        <v/>
      </c>
      <c r="H4" s="26">
        <f>IFERROR(INDEX(Classifiche!$L$4:$L$51,MATCH(E4,Classifiche!$B$4:$B$51,0)),"")</f>
        <v/>
      </c>
      <c r="I4" s="26">
        <f>IFERROR(INDEX(Classifiche!$M$4:$M$51,MATCH(D4,Classifiche!$B$4:$B$51,0)),FALSE)</f>
        <v/>
      </c>
      <c r="J4" s="26">
        <f>IFERROR(INDEX(Classifiche!$M$4:$M$51,MATCH(E4,Classifiche!$B$4:$B$51,0)),FALSE)</f>
        <v/>
      </c>
      <c r="K4" s="26">
        <f>IFERROR(INDEX(Classifiche!$O$4:$O$51,MATCH(D4,Classifiche!$B$4:$B$51,0)),FALSE)</f>
        <v/>
      </c>
      <c r="L4" s="26">
        <f>IFERROR(INDEX(Classifiche!$O$4:$O$51,MATCH(E4,Classifiche!$B$4:$B$51,0)),FALSE)</f>
        <v/>
      </c>
      <c r="M4" s="26">
        <f>IFERROR(INDEX(Classifiche!$V$4:$V$15,MATCH(C4,Classifiche!$U$4:$U$15,0)),FALSE)</f>
        <v/>
      </c>
      <c r="N4" s="26">
        <f>AND(I4,J4)</f>
        <v/>
      </c>
      <c r="O4" s="25">
        <f>IF(N4,IF(M4,"VINTA (def.)","In vincita"),IF(OR(K4,L4,M4),"PERSA (def.)","In perdita"))</f>
        <v/>
      </c>
      <c r="P4" s="26">
        <f>IF(OR(AND(N4,M4),AND(NOT(N4),OR(K4,L4,M4))),"SI","NO")</f>
        <v/>
      </c>
      <c r="Q4">
        <f>IF(N4,1,0)</f>
        <v/>
      </c>
      <c r="R4">
        <f>IF(OR(K4,L4,AND(M4,NOT(N4))),1,0)</f>
        <v/>
      </c>
      <c r="S4">
        <f>IF(N4,IF(M4,2,1),IF(OR(K4,L4,M4),-2,-1))</f>
        <v/>
      </c>
    </row>
    <row r="5">
      <c r="A5" s="26" t="n">
        <v>1</v>
      </c>
      <c r="B5" s="26" t="n">
        <v>4</v>
      </c>
      <c r="C5" s="26" t="inlineStr">
        <is>
          <t>F</t>
        </is>
      </c>
      <c r="D5" s="25" t="inlineStr">
        <is>
          <t>Olanda</t>
        </is>
      </c>
      <c r="E5" s="25" t="inlineStr">
        <is>
          <t>Svezia</t>
        </is>
      </c>
      <c r="F5" s="29" t="n">
        <v>2.75</v>
      </c>
      <c r="G5" s="26">
        <f>IFERROR(INDEX(Classifiche!$L$4:$L$51,MATCH(D5,Classifiche!$B$4:$B$51,0)),"")</f>
        <v/>
      </c>
      <c r="H5" s="26">
        <f>IFERROR(INDEX(Classifiche!$L$4:$L$51,MATCH(E5,Classifiche!$B$4:$B$51,0)),"")</f>
        <v/>
      </c>
      <c r="I5" s="26">
        <f>IFERROR(INDEX(Classifiche!$M$4:$M$51,MATCH(D5,Classifiche!$B$4:$B$51,0)),FALSE)</f>
        <v/>
      </c>
      <c r="J5" s="26">
        <f>IFERROR(INDEX(Classifiche!$M$4:$M$51,MATCH(E5,Classifiche!$B$4:$B$51,0)),FALSE)</f>
        <v/>
      </c>
      <c r="K5" s="26">
        <f>IFERROR(INDEX(Classifiche!$O$4:$O$51,MATCH(D5,Classifiche!$B$4:$B$51,0)),FALSE)</f>
        <v/>
      </c>
      <c r="L5" s="26">
        <f>IFERROR(INDEX(Classifiche!$O$4:$O$51,MATCH(E5,Classifiche!$B$4:$B$51,0)),FALSE)</f>
        <v/>
      </c>
      <c r="M5" s="26">
        <f>IFERROR(INDEX(Classifiche!$V$4:$V$15,MATCH(C5,Classifiche!$U$4:$U$15,0)),FALSE)</f>
        <v/>
      </c>
      <c r="N5" s="26">
        <f>AND(I5,J5)</f>
        <v/>
      </c>
      <c r="O5" s="25">
        <f>IF(N5,IF(M5,"VINTA (def.)","In vincita"),IF(OR(K5,L5,M5),"PERSA (def.)","In perdita"))</f>
        <v/>
      </c>
      <c r="P5" s="26">
        <f>IF(OR(AND(N5,M5),AND(NOT(N5),OR(K5,L5,M5))),"SI","NO")</f>
        <v/>
      </c>
      <c r="Q5">
        <f>IF(N5,1,0)</f>
        <v/>
      </c>
      <c r="R5">
        <f>IF(OR(K5,L5,AND(M5,NOT(N5))),1,0)</f>
        <v/>
      </c>
      <c r="S5">
        <f>IF(N5,IF(M5,2,1),IF(OR(K5,L5,M5),-2,-1))</f>
        <v/>
      </c>
    </row>
    <row r="6">
      <c r="A6" s="26" t="n">
        <v>1</v>
      </c>
      <c r="B6" s="26" t="n">
        <v>5</v>
      </c>
      <c r="C6" s="26" t="inlineStr">
        <is>
          <t>F</t>
        </is>
      </c>
      <c r="D6" s="25" t="inlineStr">
        <is>
          <t>Giappone</t>
        </is>
      </c>
      <c r="E6" s="25" t="inlineStr">
        <is>
          <t>Svezia</t>
        </is>
      </c>
      <c r="F6" s="29" t="n">
        <v>5</v>
      </c>
      <c r="G6" s="26">
        <f>IFERROR(INDEX(Classifiche!$L$4:$L$51,MATCH(D6,Classifiche!$B$4:$B$51,0)),"")</f>
        <v/>
      </c>
      <c r="H6" s="26">
        <f>IFERROR(INDEX(Classifiche!$L$4:$L$51,MATCH(E6,Classifiche!$B$4:$B$51,0)),"")</f>
        <v/>
      </c>
      <c r="I6" s="26">
        <f>IFERROR(INDEX(Classifiche!$M$4:$M$51,MATCH(D6,Classifiche!$B$4:$B$51,0)),FALSE)</f>
        <v/>
      </c>
      <c r="J6" s="26">
        <f>IFERROR(INDEX(Classifiche!$M$4:$M$51,MATCH(E6,Classifiche!$B$4:$B$51,0)),FALSE)</f>
        <v/>
      </c>
      <c r="K6" s="26">
        <f>IFERROR(INDEX(Classifiche!$O$4:$O$51,MATCH(D6,Classifiche!$B$4:$B$51,0)),FALSE)</f>
        <v/>
      </c>
      <c r="L6" s="26">
        <f>IFERROR(INDEX(Classifiche!$O$4:$O$51,MATCH(E6,Classifiche!$B$4:$B$51,0)),FALSE)</f>
        <v/>
      </c>
      <c r="M6" s="26">
        <f>IFERROR(INDEX(Classifiche!$V$4:$V$15,MATCH(C6,Classifiche!$U$4:$U$15,0)),FALSE)</f>
        <v/>
      </c>
      <c r="N6" s="26">
        <f>AND(I6,J6)</f>
        <v/>
      </c>
      <c r="O6" s="25">
        <f>IF(N6,IF(M6,"VINTA (def.)","In vincita"),IF(OR(K6,L6,M6),"PERSA (def.)","In perdita"))</f>
        <v/>
      </c>
      <c r="P6" s="26">
        <f>IF(OR(AND(N6,M6),AND(NOT(N6),OR(K6,L6,M6))),"SI","NO")</f>
        <v/>
      </c>
      <c r="Q6">
        <f>IF(N6,1,0)</f>
        <v/>
      </c>
      <c r="R6">
        <f>IF(OR(K6,L6,AND(M6,NOT(N6))),1,0)</f>
        <v/>
      </c>
      <c r="S6">
        <f>IF(N6,IF(M6,2,1),IF(OR(K6,L6,M6),-2,-1))</f>
        <v/>
      </c>
    </row>
    <row r="7">
      <c r="A7" s="26" t="n">
        <v>1</v>
      </c>
      <c r="B7" s="26" t="n">
        <v>6</v>
      </c>
      <c r="C7" s="26" t="inlineStr">
        <is>
          <t>D</t>
        </is>
      </c>
      <c r="D7" s="25" t="inlineStr">
        <is>
          <t>Stati Uniti</t>
        </is>
      </c>
      <c r="E7" s="25" t="inlineStr">
        <is>
          <t>Turchia</t>
        </is>
      </c>
      <c r="F7" s="29" t="n">
        <v>2.25</v>
      </c>
      <c r="G7" s="26">
        <f>IFERROR(INDEX(Classifiche!$L$4:$L$51,MATCH(D7,Classifiche!$B$4:$B$51,0)),"")</f>
        <v/>
      </c>
      <c r="H7" s="26">
        <f>IFERROR(INDEX(Classifiche!$L$4:$L$51,MATCH(E7,Classifiche!$B$4:$B$51,0)),"")</f>
        <v/>
      </c>
      <c r="I7" s="26">
        <f>IFERROR(INDEX(Classifiche!$M$4:$M$51,MATCH(D7,Classifiche!$B$4:$B$51,0)),FALSE)</f>
        <v/>
      </c>
      <c r="J7" s="26">
        <f>IFERROR(INDEX(Classifiche!$M$4:$M$51,MATCH(E7,Classifiche!$B$4:$B$51,0)),FALSE)</f>
        <v/>
      </c>
      <c r="K7" s="26">
        <f>IFERROR(INDEX(Classifiche!$O$4:$O$51,MATCH(D7,Classifiche!$B$4:$B$51,0)),FALSE)</f>
        <v/>
      </c>
      <c r="L7" s="26">
        <f>IFERROR(INDEX(Classifiche!$O$4:$O$51,MATCH(E7,Classifiche!$B$4:$B$51,0)),FALSE)</f>
        <v/>
      </c>
      <c r="M7" s="26">
        <f>IFERROR(INDEX(Classifiche!$V$4:$V$15,MATCH(C7,Classifiche!$U$4:$U$15,0)),FALSE)</f>
        <v/>
      </c>
      <c r="N7" s="26">
        <f>AND(I7,J7)</f>
        <v/>
      </c>
      <c r="O7" s="25">
        <f>IF(N7,IF(M7,"VINTA (def.)","In vincita"),IF(OR(K7,L7,M7),"PERSA (def.)","In perdita"))</f>
        <v/>
      </c>
      <c r="P7" s="26">
        <f>IF(OR(AND(N7,M7),AND(NOT(N7),OR(K7,L7,M7))),"SI","NO")</f>
        <v/>
      </c>
      <c r="Q7">
        <f>IF(N7,1,0)</f>
        <v/>
      </c>
      <c r="R7">
        <f>IF(OR(K7,L7,AND(M7,NOT(N7))),1,0)</f>
        <v/>
      </c>
      <c r="S7">
        <f>IF(N7,IF(M7,2,1),IF(OR(K7,L7,M7),-2,-1))</f>
        <v/>
      </c>
    </row>
    <row r="8">
      <c r="A8" s="26" t="n">
        <v>1</v>
      </c>
      <c r="B8" s="26" t="n">
        <v>7</v>
      </c>
      <c r="C8" s="26" t="inlineStr">
        <is>
          <t>D</t>
        </is>
      </c>
      <c r="D8" s="25" t="inlineStr">
        <is>
          <t>Stati Uniti</t>
        </is>
      </c>
      <c r="E8" s="25" t="inlineStr">
        <is>
          <t>Paraguay</t>
        </is>
      </c>
      <c r="F8" s="29" t="n">
        <v>3.5</v>
      </c>
      <c r="G8" s="26">
        <f>IFERROR(INDEX(Classifiche!$L$4:$L$51,MATCH(D8,Classifiche!$B$4:$B$51,0)),"")</f>
        <v/>
      </c>
      <c r="H8" s="26">
        <f>IFERROR(INDEX(Classifiche!$L$4:$L$51,MATCH(E8,Classifiche!$B$4:$B$51,0)),"")</f>
        <v/>
      </c>
      <c r="I8" s="26">
        <f>IFERROR(INDEX(Classifiche!$M$4:$M$51,MATCH(D8,Classifiche!$B$4:$B$51,0)),FALSE)</f>
        <v/>
      </c>
      <c r="J8" s="26">
        <f>IFERROR(INDEX(Classifiche!$M$4:$M$51,MATCH(E8,Classifiche!$B$4:$B$51,0)),FALSE)</f>
        <v/>
      </c>
      <c r="K8" s="26">
        <f>IFERROR(INDEX(Classifiche!$O$4:$O$51,MATCH(D8,Classifiche!$B$4:$B$51,0)),FALSE)</f>
        <v/>
      </c>
      <c r="L8" s="26">
        <f>IFERROR(INDEX(Classifiche!$O$4:$O$51,MATCH(E8,Classifiche!$B$4:$B$51,0)),FALSE)</f>
        <v/>
      </c>
      <c r="M8" s="26">
        <f>IFERROR(INDEX(Classifiche!$V$4:$V$15,MATCH(C8,Classifiche!$U$4:$U$15,0)),FALSE)</f>
        <v/>
      </c>
      <c r="N8" s="26">
        <f>AND(I8,J8)</f>
        <v/>
      </c>
      <c r="O8" s="25">
        <f>IF(N8,IF(M8,"VINTA (def.)","In vincita"),IF(OR(K8,L8,M8),"PERSA (def.)","In perdita"))</f>
        <v/>
      </c>
      <c r="P8" s="26">
        <f>IF(OR(AND(N8,M8),AND(NOT(N8),OR(K8,L8,M8))),"SI","NO")</f>
        <v/>
      </c>
      <c r="Q8">
        <f>IF(N8,1,0)</f>
        <v/>
      </c>
      <c r="R8">
        <f>IF(OR(K8,L8,AND(M8,NOT(N8))),1,0)</f>
        <v/>
      </c>
      <c r="S8">
        <f>IF(N8,IF(M8,2,1),IF(OR(K8,L8,M8),-2,-1))</f>
        <v/>
      </c>
    </row>
    <row r="9">
      <c r="A9" s="26" t="n">
        <v>1</v>
      </c>
      <c r="B9" s="26" t="n">
        <v>8</v>
      </c>
      <c r="C9" s="26" t="inlineStr">
        <is>
          <t>D</t>
        </is>
      </c>
      <c r="D9" s="25" t="inlineStr">
        <is>
          <t>Turchia</t>
        </is>
      </c>
      <c r="E9" s="25" t="inlineStr">
        <is>
          <t>Paraguay</t>
        </is>
      </c>
      <c r="F9" s="29" t="n">
        <v>4.5</v>
      </c>
      <c r="G9" s="26">
        <f>IFERROR(INDEX(Classifiche!$L$4:$L$51,MATCH(D9,Classifiche!$B$4:$B$51,0)),"")</f>
        <v/>
      </c>
      <c r="H9" s="26">
        <f>IFERROR(INDEX(Classifiche!$L$4:$L$51,MATCH(E9,Classifiche!$B$4:$B$51,0)),"")</f>
        <v/>
      </c>
      <c r="I9" s="26">
        <f>IFERROR(INDEX(Classifiche!$M$4:$M$51,MATCH(D9,Classifiche!$B$4:$B$51,0)),FALSE)</f>
        <v/>
      </c>
      <c r="J9" s="26">
        <f>IFERROR(INDEX(Classifiche!$M$4:$M$51,MATCH(E9,Classifiche!$B$4:$B$51,0)),FALSE)</f>
        <v/>
      </c>
      <c r="K9" s="26">
        <f>IFERROR(INDEX(Classifiche!$O$4:$O$51,MATCH(D9,Classifiche!$B$4:$B$51,0)),FALSE)</f>
        <v/>
      </c>
      <c r="L9" s="26">
        <f>IFERROR(INDEX(Classifiche!$O$4:$O$51,MATCH(E9,Classifiche!$B$4:$B$51,0)),FALSE)</f>
        <v/>
      </c>
      <c r="M9" s="26">
        <f>IFERROR(INDEX(Classifiche!$V$4:$V$15,MATCH(C9,Classifiche!$U$4:$U$15,0)),FALSE)</f>
        <v/>
      </c>
      <c r="N9" s="26">
        <f>AND(I9,J9)</f>
        <v/>
      </c>
      <c r="O9" s="25">
        <f>IF(N9,IF(M9,"VINTA (def.)","In vincita"),IF(OR(K9,L9,M9),"PERSA (def.)","In perdita"))</f>
        <v/>
      </c>
      <c r="P9" s="26">
        <f>IF(OR(AND(N9,M9),AND(NOT(N9),OR(K9,L9,M9))),"SI","NO")</f>
        <v/>
      </c>
      <c r="Q9">
        <f>IF(N9,1,0)</f>
        <v/>
      </c>
      <c r="R9">
        <f>IF(OR(K9,L9,AND(M9,NOT(N9))),1,0)</f>
        <v/>
      </c>
      <c r="S9">
        <f>IF(N9,IF(M9,2,1),IF(OR(K9,L9,M9),-2,-1))</f>
        <v/>
      </c>
    </row>
    <row r="10">
      <c r="A10" s="26" t="n">
        <v>1</v>
      </c>
      <c r="B10" s="26" t="n">
        <v>9</v>
      </c>
      <c r="C10" s="26" t="inlineStr">
        <is>
          <t>I</t>
        </is>
      </c>
      <c r="D10" s="25" t="inlineStr">
        <is>
          <t>Francia</t>
        </is>
      </c>
      <c r="E10" s="25" t="inlineStr">
        <is>
          <t>Senegal</t>
        </is>
      </c>
      <c r="F10" s="29" t="n">
        <v>2.5</v>
      </c>
      <c r="G10" s="26">
        <f>IFERROR(INDEX(Classifiche!$L$4:$L$51,MATCH(D10,Classifiche!$B$4:$B$51,0)),"")</f>
        <v/>
      </c>
      <c r="H10" s="26">
        <f>IFERROR(INDEX(Classifiche!$L$4:$L$51,MATCH(E10,Classifiche!$B$4:$B$51,0)),"")</f>
        <v/>
      </c>
      <c r="I10" s="26">
        <f>IFERROR(INDEX(Classifiche!$M$4:$M$51,MATCH(D10,Classifiche!$B$4:$B$51,0)),FALSE)</f>
        <v/>
      </c>
      <c r="J10" s="26">
        <f>IFERROR(INDEX(Classifiche!$M$4:$M$51,MATCH(E10,Classifiche!$B$4:$B$51,0)),FALSE)</f>
        <v/>
      </c>
      <c r="K10" s="26">
        <f>IFERROR(INDEX(Classifiche!$O$4:$O$51,MATCH(D10,Classifiche!$B$4:$B$51,0)),FALSE)</f>
        <v/>
      </c>
      <c r="L10" s="26">
        <f>IFERROR(INDEX(Classifiche!$O$4:$O$51,MATCH(E10,Classifiche!$B$4:$B$51,0)),FALSE)</f>
        <v/>
      </c>
      <c r="M10" s="26">
        <f>IFERROR(INDEX(Classifiche!$V$4:$V$15,MATCH(C10,Classifiche!$U$4:$U$15,0)),FALSE)</f>
        <v/>
      </c>
      <c r="N10" s="26">
        <f>AND(I10,J10)</f>
        <v/>
      </c>
      <c r="O10" s="25">
        <f>IF(N10,IF(M10,"VINTA (def.)","In vincita"),IF(OR(K10,L10,M10),"PERSA (def.)","In perdita"))</f>
        <v/>
      </c>
      <c r="P10" s="26">
        <f>IF(OR(AND(N10,M10),AND(NOT(N10),OR(K10,L10,M10))),"SI","NO")</f>
        <v/>
      </c>
      <c r="Q10">
        <f>IF(N10,1,0)</f>
        <v/>
      </c>
      <c r="R10">
        <f>IF(OR(K10,L10,AND(M10,NOT(N10))),1,0)</f>
        <v/>
      </c>
      <c r="S10">
        <f>IF(N10,IF(M10,2,1),IF(OR(K10,L10,M10),-2,-1))</f>
        <v/>
      </c>
    </row>
    <row r="11">
      <c r="A11" s="26" t="n">
        <v>1</v>
      </c>
      <c r="B11" s="26" t="n">
        <v>10</v>
      </c>
      <c r="C11" s="26" t="inlineStr">
        <is>
          <t>H</t>
        </is>
      </c>
      <c r="D11" s="25" t="inlineStr">
        <is>
          <t>Spagna</t>
        </is>
      </c>
      <c r="E11" s="25" t="inlineStr">
        <is>
          <t>Arabia Saudita</t>
        </is>
      </c>
      <c r="F11" s="29" t="n">
        <v>3.5</v>
      </c>
      <c r="G11" s="26">
        <f>IFERROR(INDEX(Classifiche!$L$4:$L$51,MATCH(D11,Classifiche!$B$4:$B$51,0)),"")</f>
        <v/>
      </c>
      <c r="H11" s="26">
        <f>IFERROR(INDEX(Classifiche!$L$4:$L$51,MATCH(E11,Classifiche!$B$4:$B$51,0)),"")</f>
        <v/>
      </c>
      <c r="I11" s="26">
        <f>IFERROR(INDEX(Classifiche!$M$4:$M$51,MATCH(D11,Classifiche!$B$4:$B$51,0)),FALSE)</f>
        <v/>
      </c>
      <c r="J11" s="26">
        <f>IFERROR(INDEX(Classifiche!$M$4:$M$51,MATCH(E11,Classifiche!$B$4:$B$51,0)),FALSE)</f>
        <v/>
      </c>
      <c r="K11" s="26">
        <f>IFERROR(INDEX(Classifiche!$O$4:$O$51,MATCH(D11,Classifiche!$B$4:$B$51,0)),FALSE)</f>
        <v/>
      </c>
      <c r="L11" s="26">
        <f>IFERROR(INDEX(Classifiche!$O$4:$O$51,MATCH(E11,Classifiche!$B$4:$B$51,0)),FALSE)</f>
        <v/>
      </c>
      <c r="M11" s="26">
        <f>IFERROR(INDEX(Classifiche!$V$4:$V$15,MATCH(C11,Classifiche!$U$4:$U$15,0)),FALSE)</f>
        <v/>
      </c>
      <c r="N11" s="26">
        <f>AND(I11,J11)</f>
        <v/>
      </c>
      <c r="O11" s="25">
        <f>IF(N11,IF(M11,"VINTA (def.)","In vincita"),IF(OR(K11,L11,M11),"PERSA (def.)","In perdita"))</f>
        <v/>
      </c>
      <c r="P11" s="26">
        <f>IF(OR(AND(N11,M11),AND(NOT(N11),OR(K11,L11,M11))),"SI","NO")</f>
        <v/>
      </c>
      <c r="Q11">
        <f>IF(N11,1,0)</f>
        <v/>
      </c>
      <c r="R11">
        <f>IF(OR(K11,L11,AND(M11,NOT(N11))),1,0)</f>
        <v/>
      </c>
      <c r="S11">
        <f>IF(N11,IF(M11,2,1),IF(OR(K11,L11,M11),-2,-1))</f>
        <v/>
      </c>
    </row>
    <row r="12">
      <c r="A12" s="26" t="n">
        <v>1</v>
      </c>
      <c r="B12" s="26" t="n">
        <v>11</v>
      </c>
      <c r="C12" s="26" t="inlineStr">
        <is>
          <t>G</t>
        </is>
      </c>
      <c r="D12" s="25" t="inlineStr">
        <is>
          <t>Belgio</t>
        </is>
      </c>
      <c r="E12" s="25" t="inlineStr">
        <is>
          <t>Egitto</t>
        </is>
      </c>
      <c r="F12" s="29" t="n">
        <v>1.85</v>
      </c>
      <c r="G12" s="26">
        <f>IFERROR(INDEX(Classifiche!$L$4:$L$51,MATCH(D12,Classifiche!$B$4:$B$51,0)),"")</f>
        <v/>
      </c>
      <c r="H12" s="26">
        <f>IFERROR(INDEX(Classifiche!$L$4:$L$51,MATCH(E12,Classifiche!$B$4:$B$51,0)),"")</f>
        <v/>
      </c>
      <c r="I12" s="26">
        <f>IFERROR(INDEX(Classifiche!$M$4:$M$51,MATCH(D12,Classifiche!$B$4:$B$51,0)),FALSE)</f>
        <v/>
      </c>
      <c r="J12" s="26">
        <f>IFERROR(INDEX(Classifiche!$M$4:$M$51,MATCH(E12,Classifiche!$B$4:$B$51,0)),FALSE)</f>
        <v/>
      </c>
      <c r="K12" s="26">
        <f>IFERROR(INDEX(Classifiche!$O$4:$O$51,MATCH(D12,Classifiche!$B$4:$B$51,0)),FALSE)</f>
        <v/>
      </c>
      <c r="L12" s="26">
        <f>IFERROR(INDEX(Classifiche!$O$4:$O$51,MATCH(E12,Classifiche!$B$4:$B$51,0)),FALSE)</f>
        <v/>
      </c>
      <c r="M12" s="26">
        <f>IFERROR(INDEX(Classifiche!$V$4:$V$15,MATCH(C12,Classifiche!$U$4:$U$15,0)),FALSE)</f>
        <v/>
      </c>
      <c r="N12" s="26">
        <f>AND(I12,J12)</f>
        <v/>
      </c>
      <c r="O12" s="25">
        <f>IF(N12,IF(M12,"VINTA (def.)","In vincita"),IF(OR(K12,L12,M12),"PERSA (def.)","In perdita"))</f>
        <v/>
      </c>
      <c r="P12" s="26">
        <f>IF(OR(AND(N12,M12),AND(NOT(N12),OR(K12,L12,M12))),"SI","NO")</f>
        <v/>
      </c>
      <c r="Q12">
        <f>IF(N12,1,0)</f>
        <v/>
      </c>
      <c r="R12">
        <f>IF(OR(K12,L12,AND(M12,NOT(N12))),1,0)</f>
        <v/>
      </c>
      <c r="S12">
        <f>IF(N12,IF(M12,2,1),IF(OR(K12,L12,M12),-2,-1))</f>
        <v/>
      </c>
    </row>
    <row r="13">
      <c r="A13" s="26" t="n">
        <v>1</v>
      </c>
      <c r="B13" s="26" t="n">
        <v>12</v>
      </c>
      <c r="C13" s="26" t="inlineStr">
        <is>
          <t>G</t>
        </is>
      </c>
      <c r="D13" s="25" t="inlineStr">
        <is>
          <t>Belgio</t>
        </is>
      </c>
      <c r="E13" s="25" t="inlineStr">
        <is>
          <t>Iran</t>
        </is>
      </c>
      <c r="F13" s="29" t="n">
        <v>7.5</v>
      </c>
      <c r="G13" s="26">
        <f>IFERROR(INDEX(Classifiche!$L$4:$L$51,MATCH(D13,Classifiche!$B$4:$B$51,0)),"")</f>
        <v/>
      </c>
      <c r="H13" s="26">
        <f>IFERROR(INDEX(Classifiche!$L$4:$L$51,MATCH(E13,Classifiche!$B$4:$B$51,0)),"")</f>
        <v/>
      </c>
      <c r="I13" s="26">
        <f>IFERROR(INDEX(Classifiche!$M$4:$M$51,MATCH(D13,Classifiche!$B$4:$B$51,0)),FALSE)</f>
        <v/>
      </c>
      <c r="J13" s="26">
        <f>IFERROR(INDEX(Classifiche!$M$4:$M$51,MATCH(E13,Classifiche!$B$4:$B$51,0)),FALSE)</f>
        <v/>
      </c>
      <c r="K13" s="26">
        <f>IFERROR(INDEX(Classifiche!$O$4:$O$51,MATCH(D13,Classifiche!$B$4:$B$51,0)),FALSE)</f>
        <v/>
      </c>
      <c r="L13" s="26">
        <f>IFERROR(INDEX(Classifiche!$O$4:$O$51,MATCH(E13,Classifiche!$B$4:$B$51,0)),FALSE)</f>
        <v/>
      </c>
      <c r="M13" s="26">
        <f>IFERROR(INDEX(Classifiche!$V$4:$V$15,MATCH(C13,Classifiche!$U$4:$U$15,0)),FALSE)</f>
        <v/>
      </c>
      <c r="N13" s="26">
        <f>AND(I13,J13)</f>
        <v/>
      </c>
      <c r="O13" s="25">
        <f>IF(N13,IF(M13,"VINTA (def.)","In vincita"),IF(OR(K13,L13,M13),"PERSA (def.)","In perdita"))</f>
        <v/>
      </c>
      <c r="P13" s="26">
        <f>IF(OR(AND(N13,M13),AND(NOT(N13),OR(K13,L13,M13))),"SI","NO")</f>
        <v/>
      </c>
      <c r="Q13">
        <f>IF(N13,1,0)</f>
        <v/>
      </c>
      <c r="R13">
        <f>IF(OR(K13,L13,AND(M13,NOT(N13))),1,0)</f>
        <v/>
      </c>
      <c r="S13">
        <f>IF(N13,IF(M13,2,1),IF(OR(K13,L13,M13),-2,-1))</f>
        <v/>
      </c>
    </row>
    <row r="14">
      <c r="A14" s="26" t="n">
        <v>1</v>
      </c>
      <c r="B14" s="26" t="n">
        <v>13</v>
      </c>
      <c r="C14" s="26" t="inlineStr">
        <is>
          <t>G</t>
        </is>
      </c>
      <c r="D14" s="25" t="inlineStr">
        <is>
          <t>Belgio</t>
        </is>
      </c>
      <c r="E14" s="25" t="inlineStr">
        <is>
          <t>Nuova Zelanda</t>
        </is>
      </c>
      <c r="F14" s="29" t="n">
        <v>2.5</v>
      </c>
      <c r="G14" s="26">
        <f>IFERROR(INDEX(Classifiche!$L$4:$L$51,MATCH(D14,Classifiche!$B$4:$B$51,0)),"")</f>
        <v/>
      </c>
      <c r="H14" s="26">
        <f>IFERROR(INDEX(Classifiche!$L$4:$L$51,MATCH(E14,Classifiche!$B$4:$B$51,0)),"")</f>
        <v/>
      </c>
      <c r="I14" s="26">
        <f>IFERROR(INDEX(Classifiche!$M$4:$M$51,MATCH(D14,Classifiche!$B$4:$B$51,0)),FALSE)</f>
        <v/>
      </c>
      <c r="J14" s="26">
        <f>IFERROR(INDEX(Classifiche!$M$4:$M$51,MATCH(E14,Classifiche!$B$4:$B$51,0)),FALSE)</f>
        <v/>
      </c>
      <c r="K14" s="26">
        <f>IFERROR(INDEX(Classifiche!$O$4:$O$51,MATCH(D14,Classifiche!$B$4:$B$51,0)),FALSE)</f>
        <v/>
      </c>
      <c r="L14" s="26">
        <f>IFERROR(INDEX(Classifiche!$O$4:$O$51,MATCH(E14,Classifiche!$B$4:$B$51,0)),FALSE)</f>
        <v/>
      </c>
      <c r="M14" s="26">
        <f>IFERROR(INDEX(Classifiche!$V$4:$V$15,MATCH(C14,Classifiche!$U$4:$U$15,0)),FALSE)</f>
        <v/>
      </c>
      <c r="N14" s="26">
        <f>AND(I14,J14)</f>
        <v/>
      </c>
      <c r="O14" s="25">
        <f>IF(N14,IF(M14,"VINTA (def.)","In vincita"),IF(OR(K14,L14,M14),"PERSA (def.)","In perdita"))</f>
        <v/>
      </c>
      <c r="P14" s="26">
        <f>IF(OR(AND(N14,M14),AND(NOT(N14),OR(K14,L14,M14))),"SI","NO")</f>
        <v/>
      </c>
      <c r="Q14">
        <f>IF(N14,1,0)</f>
        <v/>
      </c>
      <c r="R14">
        <f>IF(OR(K14,L14,AND(M14,NOT(N14))),1,0)</f>
        <v/>
      </c>
      <c r="S14">
        <f>IF(N14,IF(M14,2,1),IF(OR(K14,L14,M14),-2,-1))</f>
        <v/>
      </c>
    </row>
    <row r="15">
      <c r="A15" s="26" t="n">
        <v>1</v>
      </c>
      <c r="B15" s="26" t="n">
        <v>14</v>
      </c>
      <c r="C15" s="26" t="inlineStr">
        <is>
          <t>L</t>
        </is>
      </c>
      <c r="D15" s="25" t="inlineStr">
        <is>
          <t>Inghilterra</t>
        </is>
      </c>
      <c r="E15" s="25" t="inlineStr">
        <is>
          <t>Croazia</t>
        </is>
      </c>
      <c r="F15" s="29" t="n">
        <v>1.35</v>
      </c>
      <c r="G15" s="26">
        <f>IFERROR(INDEX(Classifiche!$L$4:$L$51,MATCH(D15,Classifiche!$B$4:$B$51,0)),"")</f>
        <v/>
      </c>
      <c r="H15" s="26">
        <f>IFERROR(INDEX(Classifiche!$L$4:$L$51,MATCH(E15,Classifiche!$B$4:$B$51,0)),"")</f>
        <v/>
      </c>
      <c r="I15" s="26">
        <f>IFERROR(INDEX(Classifiche!$M$4:$M$51,MATCH(D15,Classifiche!$B$4:$B$51,0)),FALSE)</f>
        <v/>
      </c>
      <c r="J15" s="26">
        <f>IFERROR(INDEX(Classifiche!$M$4:$M$51,MATCH(E15,Classifiche!$B$4:$B$51,0)),FALSE)</f>
        <v/>
      </c>
      <c r="K15" s="26">
        <f>IFERROR(INDEX(Classifiche!$O$4:$O$51,MATCH(D15,Classifiche!$B$4:$B$51,0)),FALSE)</f>
        <v/>
      </c>
      <c r="L15" s="26">
        <f>IFERROR(INDEX(Classifiche!$O$4:$O$51,MATCH(E15,Classifiche!$B$4:$B$51,0)),FALSE)</f>
        <v/>
      </c>
      <c r="M15" s="26">
        <f>IFERROR(INDEX(Classifiche!$V$4:$V$15,MATCH(C15,Classifiche!$U$4:$U$15,0)),FALSE)</f>
        <v/>
      </c>
      <c r="N15" s="26">
        <f>AND(I15,J15)</f>
        <v/>
      </c>
      <c r="O15" s="25">
        <f>IF(N15,IF(M15,"VINTA (def.)","In vincita"),IF(OR(K15,L15,M15),"PERSA (def.)","In perdita"))</f>
        <v/>
      </c>
      <c r="P15" s="26">
        <f>IF(OR(AND(N15,M15),AND(NOT(N15),OR(K15,L15,M15))),"SI","NO")</f>
        <v/>
      </c>
      <c r="Q15">
        <f>IF(N15,1,0)</f>
        <v/>
      </c>
      <c r="R15">
        <f>IF(OR(K15,L15,AND(M15,NOT(N15))),1,0)</f>
        <v/>
      </c>
      <c r="S15">
        <f>IF(N15,IF(M15,2,1),IF(OR(K15,L15,M15),-2,-1))</f>
        <v/>
      </c>
    </row>
    <row r="16">
      <c r="A16" s="26" t="n">
        <v>1</v>
      </c>
      <c r="B16" s="26" t="n">
        <v>15</v>
      </c>
      <c r="C16" s="26" t="inlineStr">
        <is>
          <t>K</t>
        </is>
      </c>
      <c r="D16" s="25" t="inlineStr">
        <is>
          <t>Portogallo</t>
        </is>
      </c>
      <c r="E16" s="25" t="inlineStr">
        <is>
          <t>Colombia</t>
        </is>
      </c>
      <c r="F16" s="29" t="n">
        <v>1.25</v>
      </c>
      <c r="G16" s="26">
        <f>IFERROR(INDEX(Classifiche!$L$4:$L$51,MATCH(D16,Classifiche!$B$4:$B$51,0)),"")</f>
        <v/>
      </c>
      <c r="H16" s="26">
        <f>IFERROR(INDEX(Classifiche!$L$4:$L$51,MATCH(E16,Classifiche!$B$4:$B$51,0)),"")</f>
        <v/>
      </c>
      <c r="I16" s="26">
        <f>IFERROR(INDEX(Classifiche!$M$4:$M$51,MATCH(D16,Classifiche!$B$4:$B$51,0)),FALSE)</f>
        <v/>
      </c>
      <c r="J16" s="26">
        <f>IFERROR(INDEX(Classifiche!$M$4:$M$51,MATCH(E16,Classifiche!$B$4:$B$51,0)),FALSE)</f>
        <v/>
      </c>
      <c r="K16" s="26">
        <f>IFERROR(INDEX(Classifiche!$O$4:$O$51,MATCH(D16,Classifiche!$B$4:$B$51,0)),FALSE)</f>
        <v/>
      </c>
      <c r="L16" s="26">
        <f>IFERROR(INDEX(Classifiche!$O$4:$O$51,MATCH(E16,Classifiche!$B$4:$B$51,0)),FALSE)</f>
        <v/>
      </c>
      <c r="M16" s="26">
        <f>IFERROR(INDEX(Classifiche!$V$4:$V$15,MATCH(C16,Classifiche!$U$4:$U$15,0)),FALSE)</f>
        <v/>
      </c>
      <c r="N16" s="26">
        <f>AND(I16,J16)</f>
        <v/>
      </c>
      <c r="O16" s="25">
        <f>IF(N16,IF(M16,"VINTA (def.)","In vincita"),IF(OR(K16,L16,M16),"PERSA (def.)","In perdita"))</f>
        <v/>
      </c>
      <c r="P16" s="26">
        <f>IF(OR(AND(N16,M16),AND(NOT(N16),OR(K16,L16,M16))),"SI","NO")</f>
        <v/>
      </c>
      <c r="Q16">
        <f>IF(N16,1,0)</f>
        <v/>
      </c>
      <c r="R16">
        <f>IF(OR(K16,L16,AND(M16,NOT(N16))),1,0)</f>
        <v/>
      </c>
      <c r="S16">
        <f>IF(N16,IF(M16,2,1),IF(OR(K16,L16,M16),-2,-1))</f>
        <v/>
      </c>
    </row>
    <row r="17">
      <c r="A17" s="26" t="n">
        <v>1</v>
      </c>
      <c r="B17" s="26" t="n">
        <v>16</v>
      </c>
      <c r="C17" s="26" t="inlineStr">
        <is>
          <t>K</t>
        </is>
      </c>
      <c r="D17" s="25" t="inlineStr">
        <is>
          <t>Portogallo</t>
        </is>
      </c>
      <c r="E17" s="25" t="inlineStr">
        <is>
          <t>Rd Congo</t>
        </is>
      </c>
      <c r="F17" s="29" t="n">
        <v>4.5</v>
      </c>
      <c r="G17" s="26">
        <f>IFERROR(INDEX(Classifiche!$L$4:$L$51,MATCH(D17,Classifiche!$B$4:$B$51,0)),"")</f>
        <v/>
      </c>
      <c r="H17" s="26">
        <f>IFERROR(INDEX(Classifiche!$L$4:$L$51,MATCH(E17,Classifiche!$B$4:$B$51,0)),"")</f>
        <v/>
      </c>
      <c r="I17" s="26">
        <f>IFERROR(INDEX(Classifiche!$M$4:$M$51,MATCH(D17,Classifiche!$B$4:$B$51,0)),FALSE)</f>
        <v/>
      </c>
      <c r="J17" s="26">
        <f>IFERROR(INDEX(Classifiche!$M$4:$M$51,MATCH(E17,Classifiche!$B$4:$B$51,0)),FALSE)</f>
        <v/>
      </c>
      <c r="K17" s="26">
        <f>IFERROR(INDEX(Classifiche!$O$4:$O$51,MATCH(D17,Classifiche!$B$4:$B$51,0)),FALSE)</f>
        <v/>
      </c>
      <c r="L17" s="26">
        <f>IFERROR(INDEX(Classifiche!$O$4:$O$51,MATCH(E17,Classifiche!$B$4:$B$51,0)),FALSE)</f>
        <v/>
      </c>
      <c r="M17" s="26">
        <f>IFERROR(INDEX(Classifiche!$V$4:$V$15,MATCH(C17,Classifiche!$U$4:$U$15,0)),FALSE)</f>
        <v/>
      </c>
      <c r="N17" s="26">
        <f>AND(I17,J17)</f>
        <v/>
      </c>
      <c r="O17" s="25">
        <f>IF(N17,IF(M17,"VINTA (def.)","In vincita"),IF(OR(K17,L17,M17),"PERSA (def.)","In perdita"))</f>
        <v/>
      </c>
      <c r="P17" s="26">
        <f>IF(OR(AND(N17,M17),AND(NOT(N17),OR(K17,L17,M17))),"SI","NO")</f>
        <v/>
      </c>
      <c r="Q17">
        <f>IF(N17,1,0)</f>
        <v/>
      </c>
      <c r="R17">
        <f>IF(OR(K17,L17,AND(M17,NOT(N17))),1,0)</f>
        <v/>
      </c>
      <c r="S17">
        <f>IF(N17,IF(M17,2,1),IF(OR(K17,L17,M17),-2,-1))</f>
        <v/>
      </c>
    </row>
    <row r="18">
      <c r="A18" s="26" t="n">
        <v>1</v>
      </c>
      <c r="B18" s="26" t="n">
        <v>17</v>
      </c>
      <c r="C18" s="26" t="inlineStr">
        <is>
          <t>J</t>
        </is>
      </c>
      <c r="D18" s="25" t="inlineStr">
        <is>
          <t>Argentina</t>
        </is>
      </c>
      <c r="E18" s="25" t="inlineStr">
        <is>
          <t>Austria</t>
        </is>
      </c>
      <c r="F18" s="29" t="n">
        <v>1.6</v>
      </c>
      <c r="G18" s="26">
        <f>IFERROR(INDEX(Classifiche!$L$4:$L$51,MATCH(D18,Classifiche!$B$4:$B$51,0)),"")</f>
        <v/>
      </c>
      <c r="H18" s="26">
        <f>IFERROR(INDEX(Classifiche!$L$4:$L$51,MATCH(E18,Classifiche!$B$4:$B$51,0)),"")</f>
        <v/>
      </c>
      <c r="I18" s="26">
        <f>IFERROR(INDEX(Classifiche!$M$4:$M$51,MATCH(D18,Classifiche!$B$4:$B$51,0)),FALSE)</f>
        <v/>
      </c>
      <c r="J18" s="26">
        <f>IFERROR(INDEX(Classifiche!$M$4:$M$51,MATCH(E18,Classifiche!$B$4:$B$51,0)),FALSE)</f>
        <v/>
      </c>
      <c r="K18" s="26">
        <f>IFERROR(INDEX(Classifiche!$O$4:$O$51,MATCH(D18,Classifiche!$B$4:$B$51,0)),FALSE)</f>
        <v/>
      </c>
      <c r="L18" s="26">
        <f>IFERROR(INDEX(Classifiche!$O$4:$O$51,MATCH(E18,Classifiche!$B$4:$B$51,0)),FALSE)</f>
        <v/>
      </c>
      <c r="M18" s="26">
        <f>IFERROR(INDEX(Classifiche!$V$4:$V$15,MATCH(C18,Classifiche!$U$4:$U$15,0)),FALSE)</f>
        <v/>
      </c>
      <c r="N18" s="26">
        <f>AND(I18,J18)</f>
        <v/>
      </c>
      <c r="O18" s="25">
        <f>IF(N18,IF(M18,"VINTA (def.)","In vincita"),IF(OR(K18,L18,M18),"PERSA (def.)","In perdita"))</f>
        <v/>
      </c>
      <c r="P18" s="26">
        <f>IF(OR(AND(N18,M18),AND(NOT(N18),OR(K18,L18,M18))),"SI","NO")</f>
        <v/>
      </c>
      <c r="Q18">
        <f>IF(N18,1,0)</f>
        <v/>
      </c>
      <c r="R18">
        <f>IF(OR(K18,L18,AND(M18,NOT(N18))),1,0)</f>
        <v/>
      </c>
      <c r="S18">
        <f>IF(N18,IF(M18,2,1),IF(OR(K18,L18,M18),-2,-1))</f>
        <v/>
      </c>
    </row>
    <row r="19">
      <c r="A19" s="26" t="n">
        <v>2</v>
      </c>
      <c r="B19" s="26" t="n">
        <v>1</v>
      </c>
      <c r="C19" s="26" t="inlineStr">
        <is>
          <t>C</t>
        </is>
      </c>
      <c r="D19" s="25" t="inlineStr">
        <is>
          <t>Brasile</t>
        </is>
      </c>
      <c r="E19" s="25" t="inlineStr">
        <is>
          <t>Marocco</t>
        </is>
      </c>
      <c r="F19" s="29" t="n">
        <v>1.6</v>
      </c>
      <c r="G19" s="26">
        <f>IFERROR(INDEX(Classifiche!$L$4:$L$51,MATCH(D19,Classifiche!$B$4:$B$51,0)),"")</f>
        <v/>
      </c>
      <c r="H19" s="26">
        <f>IFERROR(INDEX(Classifiche!$L$4:$L$51,MATCH(E19,Classifiche!$B$4:$B$51,0)),"")</f>
        <v/>
      </c>
      <c r="I19" s="26">
        <f>IFERROR(INDEX(Classifiche!$M$4:$M$51,MATCH(D19,Classifiche!$B$4:$B$51,0)),FALSE)</f>
        <v/>
      </c>
      <c r="J19" s="26">
        <f>IFERROR(INDEX(Classifiche!$M$4:$M$51,MATCH(E19,Classifiche!$B$4:$B$51,0)),FALSE)</f>
        <v/>
      </c>
      <c r="K19" s="26">
        <f>IFERROR(INDEX(Classifiche!$O$4:$O$51,MATCH(D19,Classifiche!$B$4:$B$51,0)),FALSE)</f>
        <v/>
      </c>
      <c r="L19" s="26">
        <f>IFERROR(INDEX(Classifiche!$O$4:$O$51,MATCH(E19,Classifiche!$B$4:$B$51,0)),FALSE)</f>
        <v/>
      </c>
      <c r="M19" s="26">
        <f>IFERROR(INDEX(Classifiche!$V$4:$V$15,MATCH(C19,Classifiche!$U$4:$U$15,0)),FALSE)</f>
        <v/>
      </c>
      <c r="N19" s="26">
        <f>AND(I19,J19)</f>
        <v/>
      </c>
      <c r="O19" s="25">
        <f>IF(N19,IF(M19,"VINTA (def.)","In vincita"),IF(OR(K19,L19,M19),"PERSA (def.)","In perdita"))</f>
        <v/>
      </c>
      <c r="P19" s="26">
        <f>IF(OR(AND(N19,M19),AND(NOT(N19),OR(K19,L19,M19))),"SI","NO")</f>
        <v/>
      </c>
      <c r="Q19">
        <f>IF(N19,1,0)</f>
        <v/>
      </c>
      <c r="R19">
        <f>IF(OR(K19,L19,AND(M19,NOT(N19))),1,0)</f>
        <v/>
      </c>
      <c r="S19">
        <f>IF(N19,IF(M19,2,1),IF(OR(K19,L19,M19),-2,-1))</f>
        <v/>
      </c>
    </row>
    <row r="20">
      <c r="A20" s="26" t="n">
        <v>2</v>
      </c>
      <c r="B20" s="26" t="n">
        <v>2</v>
      </c>
      <c r="C20" s="26" t="inlineStr">
        <is>
          <t>E</t>
        </is>
      </c>
      <c r="D20" s="25" t="inlineStr">
        <is>
          <t>Germania</t>
        </is>
      </c>
      <c r="E20" s="25" t="inlineStr">
        <is>
          <t>Costa d'Avorio</t>
        </is>
      </c>
      <c r="F20" s="29" t="n">
        <v>2.25</v>
      </c>
      <c r="G20" s="26">
        <f>IFERROR(INDEX(Classifiche!$L$4:$L$51,MATCH(D20,Classifiche!$B$4:$B$51,0)),"")</f>
        <v/>
      </c>
      <c r="H20" s="26">
        <f>IFERROR(INDEX(Classifiche!$L$4:$L$51,MATCH(E20,Classifiche!$B$4:$B$51,0)),"")</f>
        <v/>
      </c>
      <c r="I20" s="26">
        <f>IFERROR(INDEX(Classifiche!$M$4:$M$51,MATCH(D20,Classifiche!$B$4:$B$51,0)),FALSE)</f>
        <v/>
      </c>
      <c r="J20" s="26">
        <f>IFERROR(INDEX(Classifiche!$M$4:$M$51,MATCH(E20,Classifiche!$B$4:$B$51,0)),FALSE)</f>
        <v/>
      </c>
      <c r="K20" s="26">
        <f>IFERROR(INDEX(Classifiche!$O$4:$O$51,MATCH(D20,Classifiche!$B$4:$B$51,0)),FALSE)</f>
        <v/>
      </c>
      <c r="L20" s="26">
        <f>IFERROR(INDEX(Classifiche!$O$4:$O$51,MATCH(E20,Classifiche!$B$4:$B$51,0)),FALSE)</f>
        <v/>
      </c>
      <c r="M20" s="26">
        <f>IFERROR(INDEX(Classifiche!$V$4:$V$15,MATCH(C20,Classifiche!$U$4:$U$15,0)),FALSE)</f>
        <v/>
      </c>
      <c r="N20" s="26">
        <f>AND(I20,J20)</f>
        <v/>
      </c>
      <c r="O20" s="25">
        <f>IF(N20,IF(M20,"VINTA (def.)","In vincita"),IF(OR(K20,L20,M20),"PERSA (def.)","In perdita"))</f>
        <v/>
      </c>
      <c r="P20" s="26">
        <f>IF(OR(AND(N20,M20),AND(NOT(N20),OR(K20,L20,M20))),"SI","NO")</f>
        <v/>
      </c>
      <c r="Q20">
        <f>IF(N20,1,0)</f>
        <v/>
      </c>
      <c r="R20">
        <f>IF(OR(K20,L20,AND(M20,NOT(N20))),1,0)</f>
        <v/>
      </c>
      <c r="S20">
        <f>IF(N20,IF(M20,2,1),IF(OR(K20,L20,M20),-2,-1))</f>
        <v/>
      </c>
    </row>
    <row r="21">
      <c r="A21" s="26" t="n">
        <v>2</v>
      </c>
      <c r="B21" s="26" t="n">
        <v>3</v>
      </c>
      <c r="C21" s="26" t="inlineStr">
        <is>
          <t>F</t>
        </is>
      </c>
      <c r="D21" s="25" t="inlineStr">
        <is>
          <t>Olanda</t>
        </is>
      </c>
      <c r="E21" s="25" t="inlineStr">
        <is>
          <t>Giappone</t>
        </is>
      </c>
      <c r="F21" s="29" t="n">
        <v>2.25</v>
      </c>
      <c r="G21" s="26">
        <f>IFERROR(INDEX(Classifiche!$L$4:$L$51,MATCH(D21,Classifiche!$B$4:$B$51,0)),"")</f>
        <v/>
      </c>
      <c r="H21" s="26">
        <f>IFERROR(INDEX(Classifiche!$L$4:$L$51,MATCH(E21,Classifiche!$B$4:$B$51,0)),"")</f>
        <v/>
      </c>
      <c r="I21" s="26">
        <f>IFERROR(INDEX(Classifiche!$M$4:$M$51,MATCH(D21,Classifiche!$B$4:$B$51,0)),FALSE)</f>
        <v/>
      </c>
      <c r="J21" s="26">
        <f>IFERROR(INDEX(Classifiche!$M$4:$M$51,MATCH(E21,Classifiche!$B$4:$B$51,0)),FALSE)</f>
        <v/>
      </c>
      <c r="K21" s="26">
        <f>IFERROR(INDEX(Classifiche!$O$4:$O$51,MATCH(D21,Classifiche!$B$4:$B$51,0)),FALSE)</f>
        <v/>
      </c>
      <c r="L21" s="26">
        <f>IFERROR(INDEX(Classifiche!$O$4:$O$51,MATCH(E21,Classifiche!$B$4:$B$51,0)),FALSE)</f>
        <v/>
      </c>
      <c r="M21" s="26">
        <f>IFERROR(INDEX(Classifiche!$V$4:$V$15,MATCH(C21,Classifiche!$U$4:$U$15,0)),FALSE)</f>
        <v/>
      </c>
      <c r="N21" s="26">
        <f>AND(I21,J21)</f>
        <v/>
      </c>
      <c r="O21" s="25">
        <f>IF(N21,IF(M21,"VINTA (def.)","In vincita"),IF(OR(K21,L21,M21),"PERSA (def.)","In perdita"))</f>
        <v/>
      </c>
      <c r="P21" s="26">
        <f>IF(OR(AND(N21,M21),AND(NOT(N21),OR(K21,L21,M21))),"SI","NO")</f>
        <v/>
      </c>
      <c r="Q21">
        <f>IF(N21,1,0)</f>
        <v/>
      </c>
      <c r="R21">
        <f>IF(OR(K21,L21,AND(M21,NOT(N21))),1,0)</f>
        <v/>
      </c>
      <c r="S21">
        <f>IF(N21,IF(M21,2,1),IF(OR(K21,L21,M21),-2,-1))</f>
        <v/>
      </c>
    </row>
    <row r="22">
      <c r="A22" s="26" t="n">
        <v>2</v>
      </c>
      <c r="B22" s="26" t="n">
        <v>4</v>
      </c>
      <c r="C22" s="26" t="inlineStr">
        <is>
          <t>F</t>
        </is>
      </c>
      <c r="D22" s="25" t="inlineStr">
        <is>
          <t>Olanda</t>
        </is>
      </c>
      <c r="E22" s="25" t="inlineStr">
        <is>
          <t>Svezia</t>
        </is>
      </c>
      <c r="F22" s="29" t="n">
        <v>2.75</v>
      </c>
      <c r="G22" s="26">
        <f>IFERROR(INDEX(Classifiche!$L$4:$L$51,MATCH(D22,Classifiche!$B$4:$B$51,0)),"")</f>
        <v/>
      </c>
      <c r="H22" s="26">
        <f>IFERROR(INDEX(Classifiche!$L$4:$L$51,MATCH(E22,Classifiche!$B$4:$B$51,0)),"")</f>
        <v/>
      </c>
      <c r="I22" s="26">
        <f>IFERROR(INDEX(Classifiche!$M$4:$M$51,MATCH(D22,Classifiche!$B$4:$B$51,0)),FALSE)</f>
        <v/>
      </c>
      <c r="J22" s="26">
        <f>IFERROR(INDEX(Classifiche!$M$4:$M$51,MATCH(E22,Classifiche!$B$4:$B$51,0)),FALSE)</f>
        <v/>
      </c>
      <c r="K22" s="26">
        <f>IFERROR(INDEX(Classifiche!$O$4:$O$51,MATCH(D22,Classifiche!$B$4:$B$51,0)),FALSE)</f>
        <v/>
      </c>
      <c r="L22" s="26">
        <f>IFERROR(INDEX(Classifiche!$O$4:$O$51,MATCH(E22,Classifiche!$B$4:$B$51,0)),FALSE)</f>
        <v/>
      </c>
      <c r="M22" s="26">
        <f>IFERROR(INDEX(Classifiche!$V$4:$V$15,MATCH(C22,Classifiche!$U$4:$U$15,0)),FALSE)</f>
        <v/>
      </c>
      <c r="N22" s="26">
        <f>AND(I22,J22)</f>
        <v/>
      </c>
      <c r="O22" s="25">
        <f>IF(N22,IF(M22,"VINTA (def.)","In vincita"),IF(OR(K22,L22,M22),"PERSA (def.)","In perdita"))</f>
        <v/>
      </c>
      <c r="P22" s="26">
        <f>IF(OR(AND(N22,M22),AND(NOT(N22),OR(K22,L22,M22))),"SI","NO")</f>
        <v/>
      </c>
      <c r="Q22">
        <f>IF(N22,1,0)</f>
        <v/>
      </c>
      <c r="R22">
        <f>IF(OR(K22,L22,AND(M22,NOT(N22))),1,0)</f>
        <v/>
      </c>
      <c r="S22">
        <f>IF(N22,IF(M22,2,1),IF(OR(K22,L22,M22),-2,-1))</f>
        <v/>
      </c>
    </row>
    <row r="23">
      <c r="A23" s="26" t="n">
        <v>2</v>
      </c>
      <c r="B23" s="26" t="n">
        <v>5</v>
      </c>
      <c r="C23" s="26" t="inlineStr">
        <is>
          <t>F</t>
        </is>
      </c>
      <c r="D23" s="25" t="inlineStr">
        <is>
          <t>Giappone</t>
        </is>
      </c>
      <c r="E23" s="25" t="inlineStr">
        <is>
          <t>Svezia</t>
        </is>
      </c>
      <c r="F23" s="29" t="n">
        <v>5</v>
      </c>
      <c r="G23" s="26">
        <f>IFERROR(INDEX(Classifiche!$L$4:$L$51,MATCH(D23,Classifiche!$B$4:$B$51,0)),"")</f>
        <v/>
      </c>
      <c r="H23" s="26">
        <f>IFERROR(INDEX(Classifiche!$L$4:$L$51,MATCH(E23,Classifiche!$B$4:$B$51,0)),"")</f>
        <v/>
      </c>
      <c r="I23" s="26">
        <f>IFERROR(INDEX(Classifiche!$M$4:$M$51,MATCH(D23,Classifiche!$B$4:$B$51,0)),FALSE)</f>
        <v/>
      </c>
      <c r="J23" s="26">
        <f>IFERROR(INDEX(Classifiche!$M$4:$M$51,MATCH(E23,Classifiche!$B$4:$B$51,0)),FALSE)</f>
        <v/>
      </c>
      <c r="K23" s="26">
        <f>IFERROR(INDEX(Classifiche!$O$4:$O$51,MATCH(D23,Classifiche!$B$4:$B$51,0)),FALSE)</f>
        <v/>
      </c>
      <c r="L23" s="26">
        <f>IFERROR(INDEX(Classifiche!$O$4:$O$51,MATCH(E23,Classifiche!$B$4:$B$51,0)),FALSE)</f>
        <v/>
      </c>
      <c r="M23" s="26">
        <f>IFERROR(INDEX(Classifiche!$V$4:$V$15,MATCH(C23,Classifiche!$U$4:$U$15,0)),FALSE)</f>
        <v/>
      </c>
      <c r="N23" s="26">
        <f>AND(I23,J23)</f>
        <v/>
      </c>
      <c r="O23" s="25">
        <f>IF(N23,IF(M23,"VINTA (def.)","In vincita"),IF(OR(K23,L23,M23),"PERSA (def.)","In perdita"))</f>
        <v/>
      </c>
      <c r="P23" s="26">
        <f>IF(OR(AND(N23,M23),AND(NOT(N23),OR(K23,L23,M23))),"SI","NO")</f>
        <v/>
      </c>
      <c r="Q23">
        <f>IF(N23,1,0)</f>
        <v/>
      </c>
      <c r="R23">
        <f>IF(OR(K23,L23,AND(M23,NOT(N23))),1,0)</f>
        <v/>
      </c>
      <c r="S23">
        <f>IF(N23,IF(M23,2,1),IF(OR(K23,L23,M23),-2,-1))</f>
        <v/>
      </c>
    </row>
    <row r="24">
      <c r="A24" s="26" t="n">
        <v>2</v>
      </c>
      <c r="B24" s="26" t="n">
        <v>6</v>
      </c>
      <c r="C24" s="26" t="inlineStr">
        <is>
          <t>D</t>
        </is>
      </c>
      <c r="D24" s="25" t="inlineStr">
        <is>
          <t>Stati Uniti</t>
        </is>
      </c>
      <c r="E24" s="25" t="inlineStr">
        <is>
          <t>Turchia</t>
        </is>
      </c>
      <c r="F24" s="29" t="n">
        <v>2.25</v>
      </c>
      <c r="G24" s="26">
        <f>IFERROR(INDEX(Classifiche!$L$4:$L$51,MATCH(D24,Classifiche!$B$4:$B$51,0)),"")</f>
        <v/>
      </c>
      <c r="H24" s="26">
        <f>IFERROR(INDEX(Classifiche!$L$4:$L$51,MATCH(E24,Classifiche!$B$4:$B$51,0)),"")</f>
        <v/>
      </c>
      <c r="I24" s="26">
        <f>IFERROR(INDEX(Classifiche!$M$4:$M$51,MATCH(D24,Classifiche!$B$4:$B$51,0)),FALSE)</f>
        <v/>
      </c>
      <c r="J24" s="26">
        <f>IFERROR(INDEX(Classifiche!$M$4:$M$51,MATCH(E24,Classifiche!$B$4:$B$51,0)),FALSE)</f>
        <v/>
      </c>
      <c r="K24" s="26">
        <f>IFERROR(INDEX(Classifiche!$O$4:$O$51,MATCH(D24,Classifiche!$B$4:$B$51,0)),FALSE)</f>
        <v/>
      </c>
      <c r="L24" s="26">
        <f>IFERROR(INDEX(Classifiche!$O$4:$O$51,MATCH(E24,Classifiche!$B$4:$B$51,0)),FALSE)</f>
        <v/>
      </c>
      <c r="M24" s="26">
        <f>IFERROR(INDEX(Classifiche!$V$4:$V$15,MATCH(C24,Classifiche!$U$4:$U$15,0)),FALSE)</f>
        <v/>
      </c>
      <c r="N24" s="26">
        <f>AND(I24,J24)</f>
        <v/>
      </c>
      <c r="O24" s="25">
        <f>IF(N24,IF(M24,"VINTA (def.)","In vincita"),IF(OR(K24,L24,M24),"PERSA (def.)","In perdita"))</f>
        <v/>
      </c>
      <c r="P24" s="26">
        <f>IF(OR(AND(N24,M24),AND(NOT(N24),OR(K24,L24,M24))),"SI","NO")</f>
        <v/>
      </c>
      <c r="Q24">
        <f>IF(N24,1,0)</f>
        <v/>
      </c>
      <c r="R24">
        <f>IF(OR(K24,L24,AND(M24,NOT(N24))),1,0)</f>
        <v/>
      </c>
      <c r="S24">
        <f>IF(N24,IF(M24,2,1),IF(OR(K24,L24,M24),-2,-1))</f>
        <v/>
      </c>
    </row>
    <row r="25">
      <c r="A25" s="26" t="n">
        <v>2</v>
      </c>
      <c r="B25" s="26" t="n">
        <v>7</v>
      </c>
      <c r="C25" s="26" t="inlineStr">
        <is>
          <t>D</t>
        </is>
      </c>
      <c r="D25" s="25" t="inlineStr">
        <is>
          <t>Stati Uniti</t>
        </is>
      </c>
      <c r="E25" s="25" t="inlineStr">
        <is>
          <t>Paraguay</t>
        </is>
      </c>
      <c r="F25" s="29" t="n">
        <v>3.5</v>
      </c>
      <c r="G25" s="26">
        <f>IFERROR(INDEX(Classifiche!$L$4:$L$51,MATCH(D25,Classifiche!$B$4:$B$51,0)),"")</f>
        <v/>
      </c>
      <c r="H25" s="26">
        <f>IFERROR(INDEX(Classifiche!$L$4:$L$51,MATCH(E25,Classifiche!$B$4:$B$51,0)),"")</f>
        <v/>
      </c>
      <c r="I25" s="26">
        <f>IFERROR(INDEX(Classifiche!$M$4:$M$51,MATCH(D25,Classifiche!$B$4:$B$51,0)),FALSE)</f>
        <v/>
      </c>
      <c r="J25" s="26">
        <f>IFERROR(INDEX(Classifiche!$M$4:$M$51,MATCH(E25,Classifiche!$B$4:$B$51,0)),FALSE)</f>
        <v/>
      </c>
      <c r="K25" s="26">
        <f>IFERROR(INDEX(Classifiche!$O$4:$O$51,MATCH(D25,Classifiche!$B$4:$B$51,0)),FALSE)</f>
        <v/>
      </c>
      <c r="L25" s="26">
        <f>IFERROR(INDEX(Classifiche!$O$4:$O$51,MATCH(E25,Classifiche!$B$4:$B$51,0)),FALSE)</f>
        <v/>
      </c>
      <c r="M25" s="26">
        <f>IFERROR(INDEX(Classifiche!$V$4:$V$15,MATCH(C25,Classifiche!$U$4:$U$15,0)),FALSE)</f>
        <v/>
      </c>
      <c r="N25" s="26">
        <f>AND(I25,J25)</f>
        <v/>
      </c>
      <c r="O25" s="25">
        <f>IF(N25,IF(M25,"VINTA (def.)","In vincita"),IF(OR(K25,L25,M25),"PERSA (def.)","In perdita"))</f>
        <v/>
      </c>
      <c r="P25" s="26">
        <f>IF(OR(AND(N25,M25),AND(NOT(N25),OR(K25,L25,M25))),"SI","NO")</f>
        <v/>
      </c>
      <c r="Q25">
        <f>IF(N25,1,0)</f>
        <v/>
      </c>
      <c r="R25">
        <f>IF(OR(K25,L25,AND(M25,NOT(N25))),1,0)</f>
        <v/>
      </c>
      <c r="S25">
        <f>IF(N25,IF(M25,2,1),IF(OR(K25,L25,M25),-2,-1))</f>
        <v/>
      </c>
    </row>
    <row r="26">
      <c r="A26" s="26" t="n">
        <v>2</v>
      </c>
      <c r="B26" s="26" t="n">
        <v>8</v>
      </c>
      <c r="C26" s="26" t="inlineStr">
        <is>
          <t>D</t>
        </is>
      </c>
      <c r="D26" s="25" t="inlineStr">
        <is>
          <t>Turchia</t>
        </is>
      </c>
      <c r="E26" s="25" t="inlineStr">
        <is>
          <t>Paraguay</t>
        </is>
      </c>
      <c r="F26" s="29" t="n">
        <v>4.5</v>
      </c>
      <c r="G26" s="26">
        <f>IFERROR(INDEX(Classifiche!$L$4:$L$51,MATCH(D26,Classifiche!$B$4:$B$51,0)),"")</f>
        <v/>
      </c>
      <c r="H26" s="26">
        <f>IFERROR(INDEX(Classifiche!$L$4:$L$51,MATCH(E26,Classifiche!$B$4:$B$51,0)),"")</f>
        <v/>
      </c>
      <c r="I26" s="26">
        <f>IFERROR(INDEX(Classifiche!$M$4:$M$51,MATCH(D26,Classifiche!$B$4:$B$51,0)),FALSE)</f>
        <v/>
      </c>
      <c r="J26" s="26">
        <f>IFERROR(INDEX(Classifiche!$M$4:$M$51,MATCH(E26,Classifiche!$B$4:$B$51,0)),FALSE)</f>
        <v/>
      </c>
      <c r="K26" s="26">
        <f>IFERROR(INDEX(Classifiche!$O$4:$O$51,MATCH(D26,Classifiche!$B$4:$B$51,0)),FALSE)</f>
        <v/>
      </c>
      <c r="L26" s="26">
        <f>IFERROR(INDEX(Classifiche!$O$4:$O$51,MATCH(E26,Classifiche!$B$4:$B$51,0)),FALSE)</f>
        <v/>
      </c>
      <c r="M26" s="26">
        <f>IFERROR(INDEX(Classifiche!$V$4:$V$15,MATCH(C26,Classifiche!$U$4:$U$15,0)),FALSE)</f>
        <v/>
      </c>
      <c r="N26" s="26">
        <f>AND(I26,J26)</f>
        <v/>
      </c>
      <c r="O26" s="25">
        <f>IF(N26,IF(M26,"VINTA (def.)","In vincita"),IF(OR(K26,L26,M26),"PERSA (def.)","In perdita"))</f>
        <v/>
      </c>
      <c r="P26" s="26">
        <f>IF(OR(AND(N26,M26),AND(NOT(N26),OR(K26,L26,M26))),"SI","NO")</f>
        <v/>
      </c>
      <c r="Q26">
        <f>IF(N26,1,0)</f>
        <v/>
      </c>
      <c r="R26">
        <f>IF(OR(K26,L26,AND(M26,NOT(N26))),1,0)</f>
        <v/>
      </c>
      <c r="S26">
        <f>IF(N26,IF(M26,2,1),IF(OR(K26,L26,M26),-2,-1))</f>
        <v/>
      </c>
    </row>
    <row r="27">
      <c r="A27" s="26" t="n">
        <v>2</v>
      </c>
      <c r="B27" s="26" t="n">
        <v>9</v>
      </c>
      <c r="C27" s="26" t="inlineStr">
        <is>
          <t>I</t>
        </is>
      </c>
      <c r="D27" s="25" t="inlineStr">
        <is>
          <t>Francia</t>
        </is>
      </c>
      <c r="E27" s="25" t="inlineStr">
        <is>
          <t>Senegal</t>
        </is>
      </c>
      <c r="F27" s="29" t="n">
        <v>2.5</v>
      </c>
      <c r="G27" s="26">
        <f>IFERROR(INDEX(Classifiche!$L$4:$L$51,MATCH(D27,Classifiche!$B$4:$B$51,0)),"")</f>
        <v/>
      </c>
      <c r="H27" s="26">
        <f>IFERROR(INDEX(Classifiche!$L$4:$L$51,MATCH(E27,Classifiche!$B$4:$B$51,0)),"")</f>
        <v/>
      </c>
      <c r="I27" s="26">
        <f>IFERROR(INDEX(Classifiche!$M$4:$M$51,MATCH(D27,Classifiche!$B$4:$B$51,0)),FALSE)</f>
        <v/>
      </c>
      <c r="J27" s="26">
        <f>IFERROR(INDEX(Classifiche!$M$4:$M$51,MATCH(E27,Classifiche!$B$4:$B$51,0)),FALSE)</f>
        <v/>
      </c>
      <c r="K27" s="26">
        <f>IFERROR(INDEX(Classifiche!$O$4:$O$51,MATCH(D27,Classifiche!$B$4:$B$51,0)),FALSE)</f>
        <v/>
      </c>
      <c r="L27" s="26">
        <f>IFERROR(INDEX(Classifiche!$O$4:$O$51,MATCH(E27,Classifiche!$B$4:$B$51,0)),FALSE)</f>
        <v/>
      </c>
      <c r="M27" s="26">
        <f>IFERROR(INDEX(Classifiche!$V$4:$V$15,MATCH(C27,Classifiche!$U$4:$U$15,0)),FALSE)</f>
        <v/>
      </c>
      <c r="N27" s="26">
        <f>AND(I27,J27)</f>
        <v/>
      </c>
      <c r="O27" s="25">
        <f>IF(N27,IF(M27,"VINTA (def.)","In vincita"),IF(OR(K27,L27,M27),"PERSA (def.)","In perdita"))</f>
        <v/>
      </c>
      <c r="P27" s="26">
        <f>IF(OR(AND(N27,M27),AND(NOT(N27),OR(K27,L27,M27))),"SI","NO")</f>
        <v/>
      </c>
      <c r="Q27">
        <f>IF(N27,1,0)</f>
        <v/>
      </c>
      <c r="R27">
        <f>IF(OR(K27,L27,AND(M27,NOT(N27))),1,0)</f>
        <v/>
      </c>
      <c r="S27">
        <f>IF(N27,IF(M27,2,1),IF(OR(K27,L27,M27),-2,-1))</f>
        <v/>
      </c>
    </row>
    <row r="28">
      <c r="A28" s="26" t="n">
        <v>2</v>
      </c>
      <c r="B28" s="26" t="n">
        <v>10</v>
      </c>
      <c r="C28" s="26" t="inlineStr">
        <is>
          <t>H</t>
        </is>
      </c>
      <c r="D28" s="25" t="inlineStr">
        <is>
          <t>Spagna</t>
        </is>
      </c>
      <c r="E28" s="25" t="inlineStr">
        <is>
          <t>Uruguay</t>
        </is>
      </c>
      <c r="F28" s="29" t="n">
        <v>1.35</v>
      </c>
      <c r="G28" s="26">
        <f>IFERROR(INDEX(Classifiche!$L$4:$L$51,MATCH(D28,Classifiche!$B$4:$B$51,0)),"")</f>
        <v/>
      </c>
      <c r="H28" s="26">
        <f>IFERROR(INDEX(Classifiche!$L$4:$L$51,MATCH(E28,Classifiche!$B$4:$B$51,0)),"")</f>
        <v/>
      </c>
      <c r="I28" s="26">
        <f>IFERROR(INDEX(Classifiche!$M$4:$M$51,MATCH(D28,Classifiche!$B$4:$B$51,0)),FALSE)</f>
        <v/>
      </c>
      <c r="J28" s="26">
        <f>IFERROR(INDEX(Classifiche!$M$4:$M$51,MATCH(E28,Classifiche!$B$4:$B$51,0)),FALSE)</f>
        <v/>
      </c>
      <c r="K28" s="26">
        <f>IFERROR(INDEX(Classifiche!$O$4:$O$51,MATCH(D28,Classifiche!$B$4:$B$51,0)),FALSE)</f>
        <v/>
      </c>
      <c r="L28" s="26">
        <f>IFERROR(INDEX(Classifiche!$O$4:$O$51,MATCH(E28,Classifiche!$B$4:$B$51,0)),FALSE)</f>
        <v/>
      </c>
      <c r="M28" s="26">
        <f>IFERROR(INDEX(Classifiche!$V$4:$V$15,MATCH(C28,Classifiche!$U$4:$U$15,0)),FALSE)</f>
        <v/>
      </c>
      <c r="N28" s="26">
        <f>AND(I28,J28)</f>
        <v/>
      </c>
      <c r="O28" s="25">
        <f>IF(N28,IF(M28,"VINTA (def.)","In vincita"),IF(OR(K28,L28,M28),"PERSA (def.)","In perdita"))</f>
        <v/>
      </c>
      <c r="P28" s="26">
        <f>IF(OR(AND(N28,M28),AND(NOT(N28),OR(K28,L28,M28))),"SI","NO")</f>
        <v/>
      </c>
      <c r="Q28">
        <f>IF(N28,1,0)</f>
        <v/>
      </c>
      <c r="R28">
        <f>IF(OR(K28,L28,AND(M28,NOT(N28))),1,0)</f>
        <v/>
      </c>
      <c r="S28">
        <f>IF(N28,IF(M28,2,1),IF(OR(K28,L28,M28),-2,-1))</f>
        <v/>
      </c>
    </row>
    <row r="29">
      <c r="A29" s="26" t="n">
        <v>2</v>
      </c>
      <c r="B29" s="26" t="n">
        <v>11</v>
      </c>
      <c r="C29" s="26" t="inlineStr">
        <is>
          <t>G</t>
        </is>
      </c>
      <c r="D29" s="25" t="inlineStr">
        <is>
          <t>Belgio</t>
        </is>
      </c>
      <c r="E29" s="25" t="inlineStr">
        <is>
          <t>Egitto</t>
        </is>
      </c>
      <c r="F29" s="29" t="n">
        <v>1.85</v>
      </c>
      <c r="G29" s="26">
        <f>IFERROR(INDEX(Classifiche!$L$4:$L$51,MATCH(D29,Classifiche!$B$4:$B$51,0)),"")</f>
        <v/>
      </c>
      <c r="H29" s="26">
        <f>IFERROR(INDEX(Classifiche!$L$4:$L$51,MATCH(E29,Classifiche!$B$4:$B$51,0)),"")</f>
        <v/>
      </c>
      <c r="I29" s="26">
        <f>IFERROR(INDEX(Classifiche!$M$4:$M$51,MATCH(D29,Classifiche!$B$4:$B$51,0)),FALSE)</f>
        <v/>
      </c>
      <c r="J29" s="26">
        <f>IFERROR(INDEX(Classifiche!$M$4:$M$51,MATCH(E29,Classifiche!$B$4:$B$51,0)),FALSE)</f>
        <v/>
      </c>
      <c r="K29" s="26">
        <f>IFERROR(INDEX(Classifiche!$O$4:$O$51,MATCH(D29,Classifiche!$B$4:$B$51,0)),FALSE)</f>
        <v/>
      </c>
      <c r="L29" s="26">
        <f>IFERROR(INDEX(Classifiche!$O$4:$O$51,MATCH(E29,Classifiche!$B$4:$B$51,0)),FALSE)</f>
        <v/>
      </c>
      <c r="M29" s="26">
        <f>IFERROR(INDEX(Classifiche!$V$4:$V$15,MATCH(C29,Classifiche!$U$4:$U$15,0)),FALSE)</f>
        <v/>
      </c>
      <c r="N29" s="26">
        <f>AND(I29,J29)</f>
        <v/>
      </c>
      <c r="O29" s="25">
        <f>IF(N29,IF(M29,"VINTA (def.)","In vincita"),IF(OR(K29,L29,M29),"PERSA (def.)","In perdita"))</f>
        <v/>
      </c>
      <c r="P29" s="26">
        <f>IF(OR(AND(N29,M29),AND(NOT(N29),OR(K29,L29,M29))),"SI","NO")</f>
        <v/>
      </c>
      <c r="Q29">
        <f>IF(N29,1,0)</f>
        <v/>
      </c>
      <c r="R29">
        <f>IF(OR(K29,L29,AND(M29,NOT(N29))),1,0)</f>
        <v/>
      </c>
      <c r="S29">
        <f>IF(N29,IF(M29,2,1),IF(OR(K29,L29,M29),-2,-1))</f>
        <v/>
      </c>
    </row>
    <row r="30">
      <c r="A30" s="26" t="n">
        <v>2</v>
      </c>
      <c r="B30" s="26" t="n">
        <v>12</v>
      </c>
      <c r="C30" s="26" t="inlineStr">
        <is>
          <t>G</t>
        </is>
      </c>
      <c r="D30" s="25" t="inlineStr">
        <is>
          <t>Belgio</t>
        </is>
      </c>
      <c r="E30" s="25" t="inlineStr">
        <is>
          <t>Iran</t>
        </is>
      </c>
      <c r="F30" s="29" t="n">
        <v>2.5</v>
      </c>
      <c r="G30" s="26">
        <f>IFERROR(INDEX(Classifiche!$L$4:$L$51,MATCH(D30,Classifiche!$B$4:$B$51,0)),"")</f>
        <v/>
      </c>
      <c r="H30" s="26">
        <f>IFERROR(INDEX(Classifiche!$L$4:$L$51,MATCH(E30,Classifiche!$B$4:$B$51,0)),"")</f>
        <v/>
      </c>
      <c r="I30" s="26">
        <f>IFERROR(INDEX(Classifiche!$M$4:$M$51,MATCH(D30,Classifiche!$B$4:$B$51,0)),FALSE)</f>
        <v/>
      </c>
      <c r="J30" s="26">
        <f>IFERROR(INDEX(Classifiche!$M$4:$M$51,MATCH(E30,Classifiche!$B$4:$B$51,0)),FALSE)</f>
        <v/>
      </c>
      <c r="K30" s="26">
        <f>IFERROR(INDEX(Classifiche!$O$4:$O$51,MATCH(D30,Classifiche!$B$4:$B$51,0)),FALSE)</f>
        <v/>
      </c>
      <c r="L30" s="26">
        <f>IFERROR(INDEX(Classifiche!$O$4:$O$51,MATCH(E30,Classifiche!$B$4:$B$51,0)),FALSE)</f>
        <v/>
      </c>
      <c r="M30" s="26">
        <f>IFERROR(INDEX(Classifiche!$V$4:$V$15,MATCH(C30,Classifiche!$U$4:$U$15,0)),FALSE)</f>
        <v/>
      </c>
      <c r="N30" s="26">
        <f>AND(I30,J30)</f>
        <v/>
      </c>
      <c r="O30" s="25">
        <f>IF(N30,IF(M30,"VINTA (def.)","In vincita"),IF(OR(K30,L30,M30),"PERSA (def.)","In perdita"))</f>
        <v/>
      </c>
      <c r="P30" s="26">
        <f>IF(OR(AND(N30,M30),AND(NOT(N30),OR(K30,L30,M30))),"SI","NO")</f>
        <v/>
      </c>
      <c r="Q30">
        <f>IF(N30,1,0)</f>
        <v/>
      </c>
      <c r="R30">
        <f>IF(OR(K30,L30,AND(M30,NOT(N30))),1,0)</f>
        <v/>
      </c>
      <c r="S30">
        <f>IF(N30,IF(M30,2,1),IF(OR(K30,L30,M30),-2,-1))</f>
        <v/>
      </c>
    </row>
    <row r="31">
      <c r="A31" s="26" t="n">
        <v>2</v>
      </c>
      <c r="B31" s="26" t="n">
        <v>13</v>
      </c>
      <c r="C31" s="26" t="inlineStr">
        <is>
          <t>G</t>
        </is>
      </c>
      <c r="D31" s="25" t="inlineStr">
        <is>
          <t>Belgio</t>
        </is>
      </c>
      <c r="E31" s="25" t="inlineStr">
        <is>
          <t>Nuova Zelanda</t>
        </is>
      </c>
      <c r="F31" s="29" t="n">
        <v>7.5</v>
      </c>
      <c r="G31" s="26">
        <f>IFERROR(INDEX(Classifiche!$L$4:$L$51,MATCH(D31,Classifiche!$B$4:$B$51,0)),"")</f>
        <v/>
      </c>
      <c r="H31" s="26">
        <f>IFERROR(INDEX(Classifiche!$L$4:$L$51,MATCH(E31,Classifiche!$B$4:$B$51,0)),"")</f>
        <v/>
      </c>
      <c r="I31" s="26">
        <f>IFERROR(INDEX(Classifiche!$M$4:$M$51,MATCH(D31,Classifiche!$B$4:$B$51,0)),FALSE)</f>
        <v/>
      </c>
      <c r="J31" s="26">
        <f>IFERROR(INDEX(Classifiche!$M$4:$M$51,MATCH(E31,Classifiche!$B$4:$B$51,0)),FALSE)</f>
        <v/>
      </c>
      <c r="K31" s="26">
        <f>IFERROR(INDEX(Classifiche!$O$4:$O$51,MATCH(D31,Classifiche!$B$4:$B$51,0)),FALSE)</f>
        <v/>
      </c>
      <c r="L31" s="26">
        <f>IFERROR(INDEX(Classifiche!$O$4:$O$51,MATCH(E31,Classifiche!$B$4:$B$51,0)),FALSE)</f>
        <v/>
      </c>
      <c r="M31" s="26">
        <f>IFERROR(INDEX(Classifiche!$V$4:$V$15,MATCH(C31,Classifiche!$U$4:$U$15,0)),FALSE)</f>
        <v/>
      </c>
      <c r="N31" s="26">
        <f>AND(I31,J31)</f>
        <v/>
      </c>
      <c r="O31" s="25">
        <f>IF(N31,IF(M31,"VINTA (def.)","In vincita"),IF(OR(K31,L31,M31),"PERSA (def.)","In perdita"))</f>
        <v/>
      </c>
      <c r="P31" s="26">
        <f>IF(OR(AND(N31,M31),AND(NOT(N31),OR(K31,L31,M31))),"SI","NO")</f>
        <v/>
      </c>
      <c r="Q31">
        <f>IF(N31,1,0)</f>
        <v/>
      </c>
      <c r="R31">
        <f>IF(OR(K31,L31,AND(M31,NOT(N31))),1,0)</f>
        <v/>
      </c>
      <c r="S31">
        <f>IF(N31,IF(M31,2,1),IF(OR(K31,L31,M31),-2,-1))</f>
        <v/>
      </c>
    </row>
    <row r="32">
      <c r="A32" s="26" t="n">
        <v>2</v>
      </c>
      <c r="B32" s="26" t="n">
        <v>14</v>
      </c>
      <c r="C32" s="26" t="inlineStr">
        <is>
          <t>L</t>
        </is>
      </c>
      <c r="D32" s="25" t="inlineStr">
        <is>
          <t>Inghilterra</t>
        </is>
      </c>
      <c r="E32" s="25" t="inlineStr">
        <is>
          <t>Ghana</t>
        </is>
      </c>
      <c r="F32" s="29" t="n">
        <v>3.5</v>
      </c>
      <c r="G32" s="26">
        <f>IFERROR(INDEX(Classifiche!$L$4:$L$51,MATCH(D32,Classifiche!$B$4:$B$51,0)),"")</f>
        <v/>
      </c>
      <c r="H32" s="26">
        <f>IFERROR(INDEX(Classifiche!$L$4:$L$51,MATCH(E32,Classifiche!$B$4:$B$51,0)),"")</f>
        <v/>
      </c>
      <c r="I32" s="26">
        <f>IFERROR(INDEX(Classifiche!$M$4:$M$51,MATCH(D32,Classifiche!$B$4:$B$51,0)),FALSE)</f>
        <v/>
      </c>
      <c r="J32" s="26">
        <f>IFERROR(INDEX(Classifiche!$M$4:$M$51,MATCH(E32,Classifiche!$B$4:$B$51,0)),FALSE)</f>
        <v/>
      </c>
      <c r="K32" s="26">
        <f>IFERROR(INDEX(Classifiche!$O$4:$O$51,MATCH(D32,Classifiche!$B$4:$B$51,0)),FALSE)</f>
        <v/>
      </c>
      <c r="L32" s="26">
        <f>IFERROR(INDEX(Classifiche!$O$4:$O$51,MATCH(E32,Classifiche!$B$4:$B$51,0)),FALSE)</f>
        <v/>
      </c>
      <c r="M32" s="26">
        <f>IFERROR(INDEX(Classifiche!$V$4:$V$15,MATCH(C32,Classifiche!$U$4:$U$15,0)),FALSE)</f>
        <v/>
      </c>
      <c r="N32" s="26">
        <f>AND(I32,J32)</f>
        <v/>
      </c>
      <c r="O32" s="25">
        <f>IF(N32,IF(M32,"VINTA (def.)","In vincita"),IF(OR(K32,L32,M32),"PERSA (def.)","In perdita"))</f>
        <v/>
      </c>
      <c r="P32" s="26">
        <f>IF(OR(AND(N32,M32),AND(NOT(N32),OR(K32,L32,M32))),"SI","NO")</f>
        <v/>
      </c>
      <c r="Q32">
        <f>IF(N32,1,0)</f>
        <v/>
      </c>
      <c r="R32">
        <f>IF(OR(K32,L32,AND(M32,NOT(N32))),1,0)</f>
        <v/>
      </c>
      <c r="S32">
        <f>IF(N32,IF(M32,2,1),IF(OR(K32,L32,M32),-2,-1))</f>
        <v/>
      </c>
    </row>
    <row r="33">
      <c r="A33" s="26" t="n">
        <v>2</v>
      </c>
      <c r="B33" s="26" t="n">
        <v>15</v>
      </c>
      <c r="C33" s="26" t="inlineStr">
        <is>
          <t>K</t>
        </is>
      </c>
      <c r="D33" s="25" t="inlineStr">
        <is>
          <t>Portogallo</t>
        </is>
      </c>
      <c r="E33" s="25" t="inlineStr">
        <is>
          <t>Colombia</t>
        </is>
      </c>
      <c r="F33" s="29" t="n">
        <v>1.25</v>
      </c>
      <c r="G33" s="26">
        <f>IFERROR(INDEX(Classifiche!$L$4:$L$51,MATCH(D33,Classifiche!$B$4:$B$51,0)),"")</f>
        <v/>
      </c>
      <c r="H33" s="26">
        <f>IFERROR(INDEX(Classifiche!$L$4:$L$51,MATCH(E33,Classifiche!$B$4:$B$51,0)),"")</f>
        <v/>
      </c>
      <c r="I33" s="26">
        <f>IFERROR(INDEX(Classifiche!$M$4:$M$51,MATCH(D33,Classifiche!$B$4:$B$51,0)),FALSE)</f>
        <v/>
      </c>
      <c r="J33" s="26">
        <f>IFERROR(INDEX(Classifiche!$M$4:$M$51,MATCH(E33,Classifiche!$B$4:$B$51,0)),FALSE)</f>
        <v/>
      </c>
      <c r="K33" s="26">
        <f>IFERROR(INDEX(Classifiche!$O$4:$O$51,MATCH(D33,Classifiche!$B$4:$B$51,0)),FALSE)</f>
        <v/>
      </c>
      <c r="L33" s="26">
        <f>IFERROR(INDEX(Classifiche!$O$4:$O$51,MATCH(E33,Classifiche!$B$4:$B$51,0)),FALSE)</f>
        <v/>
      </c>
      <c r="M33" s="26">
        <f>IFERROR(INDEX(Classifiche!$V$4:$V$15,MATCH(C33,Classifiche!$U$4:$U$15,0)),FALSE)</f>
        <v/>
      </c>
      <c r="N33" s="26">
        <f>AND(I33,J33)</f>
        <v/>
      </c>
      <c r="O33" s="25">
        <f>IF(N33,IF(M33,"VINTA (def.)","In vincita"),IF(OR(K33,L33,M33),"PERSA (def.)","In perdita"))</f>
        <v/>
      </c>
      <c r="P33" s="26">
        <f>IF(OR(AND(N33,M33),AND(NOT(N33),OR(K33,L33,M33))),"SI","NO")</f>
        <v/>
      </c>
      <c r="Q33">
        <f>IF(N33,1,0)</f>
        <v/>
      </c>
      <c r="R33">
        <f>IF(OR(K33,L33,AND(M33,NOT(N33))),1,0)</f>
        <v/>
      </c>
      <c r="S33">
        <f>IF(N33,IF(M33,2,1),IF(OR(K33,L33,M33),-2,-1))</f>
        <v/>
      </c>
    </row>
    <row r="34">
      <c r="A34" s="26" t="n">
        <v>2</v>
      </c>
      <c r="B34" s="26" t="n">
        <v>16</v>
      </c>
      <c r="C34" s="26" t="inlineStr">
        <is>
          <t>K</t>
        </is>
      </c>
      <c r="D34" s="25" t="inlineStr">
        <is>
          <t>Portogallo</t>
        </is>
      </c>
      <c r="E34" s="25" t="inlineStr">
        <is>
          <t>Rd Congo</t>
        </is>
      </c>
      <c r="F34" s="29" t="n">
        <v>4.5</v>
      </c>
      <c r="G34" s="26">
        <f>IFERROR(INDEX(Classifiche!$L$4:$L$51,MATCH(D34,Classifiche!$B$4:$B$51,0)),"")</f>
        <v/>
      </c>
      <c r="H34" s="26">
        <f>IFERROR(INDEX(Classifiche!$L$4:$L$51,MATCH(E34,Classifiche!$B$4:$B$51,0)),"")</f>
        <v/>
      </c>
      <c r="I34" s="26">
        <f>IFERROR(INDEX(Classifiche!$M$4:$M$51,MATCH(D34,Classifiche!$B$4:$B$51,0)),FALSE)</f>
        <v/>
      </c>
      <c r="J34" s="26">
        <f>IFERROR(INDEX(Classifiche!$M$4:$M$51,MATCH(E34,Classifiche!$B$4:$B$51,0)),FALSE)</f>
        <v/>
      </c>
      <c r="K34" s="26">
        <f>IFERROR(INDEX(Classifiche!$O$4:$O$51,MATCH(D34,Classifiche!$B$4:$B$51,0)),FALSE)</f>
        <v/>
      </c>
      <c r="L34" s="26">
        <f>IFERROR(INDEX(Classifiche!$O$4:$O$51,MATCH(E34,Classifiche!$B$4:$B$51,0)),FALSE)</f>
        <v/>
      </c>
      <c r="M34" s="26">
        <f>IFERROR(INDEX(Classifiche!$V$4:$V$15,MATCH(C34,Classifiche!$U$4:$U$15,0)),FALSE)</f>
        <v/>
      </c>
      <c r="N34" s="26">
        <f>AND(I34,J34)</f>
        <v/>
      </c>
      <c r="O34" s="25">
        <f>IF(N34,IF(M34,"VINTA (def.)","In vincita"),IF(OR(K34,L34,M34),"PERSA (def.)","In perdita"))</f>
        <v/>
      </c>
      <c r="P34" s="26">
        <f>IF(OR(AND(N34,M34),AND(NOT(N34),OR(K34,L34,M34))),"SI","NO")</f>
        <v/>
      </c>
      <c r="Q34">
        <f>IF(N34,1,0)</f>
        <v/>
      </c>
      <c r="R34">
        <f>IF(OR(K34,L34,AND(M34,NOT(N34))),1,0)</f>
        <v/>
      </c>
      <c r="S34">
        <f>IF(N34,IF(M34,2,1),IF(OR(K34,L34,M34),-2,-1))</f>
        <v/>
      </c>
    </row>
    <row r="35">
      <c r="A35" s="26" t="n">
        <v>2</v>
      </c>
      <c r="B35" s="26" t="n">
        <v>17</v>
      </c>
      <c r="C35" s="26" t="inlineStr">
        <is>
          <t>J</t>
        </is>
      </c>
      <c r="D35" s="25" t="inlineStr">
        <is>
          <t>Argentina</t>
        </is>
      </c>
      <c r="E35" s="25" t="inlineStr">
        <is>
          <t>Austria</t>
        </is>
      </c>
      <c r="F35" s="29" t="n">
        <v>1.6</v>
      </c>
      <c r="G35" s="26">
        <f>IFERROR(INDEX(Classifiche!$L$4:$L$51,MATCH(D35,Classifiche!$B$4:$B$51,0)),"")</f>
        <v/>
      </c>
      <c r="H35" s="26">
        <f>IFERROR(INDEX(Classifiche!$L$4:$L$51,MATCH(E35,Classifiche!$B$4:$B$51,0)),"")</f>
        <v/>
      </c>
      <c r="I35" s="26">
        <f>IFERROR(INDEX(Classifiche!$M$4:$M$51,MATCH(D35,Classifiche!$B$4:$B$51,0)),FALSE)</f>
        <v/>
      </c>
      <c r="J35" s="26">
        <f>IFERROR(INDEX(Classifiche!$M$4:$M$51,MATCH(E35,Classifiche!$B$4:$B$51,0)),FALSE)</f>
        <v/>
      </c>
      <c r="K35" s="26">
        <f>IFERROR(INDEX(Classifiche!$O$4:$O$51,MATCH(D35,Classifiche!$B$4:$B$51,0)),FALSE)</f>
        <v/>
      </c>
      <c r="L35" s="26">
        <f>IFERROR(INDEX(Classifiche!$O$4:$O$51,MATCH(E35,Classifiche!$B$4:$B$51,0)),FALSE)</f>
        <v/>
      </c>
      <c r="M35" s="26">
        <f>IFERROR(INDEX(Classifiche!$V$4:$V$15,MATCH(C35,Classifiche!$U$4:$U$15,0)),FALSE)</f>
        <v/>
      </c>
      <c r="N35" s="26">
        <f>AND(I35,J35)</f>
        <v/>
      </c>
      <c r="O35" s="25">
        <f>IF(N35,IF(M35,"VINTA (def.)","In vincita"),IF(OR(K35,L35,M35),"PERSA (def.)","In perdita"))</f>
        <v/>
      </c>
      <c r="P35" s="26">
        <f>IF(OR(AND(N35,M35),AND(NOT(N35),OR(K35,L35,M35))),"SI","NO")</f>
        <v/>
      </c>
      <c r="Q35">
        <f>IF(N35,1,0)</f>
        <v/>
      </c>
      <c r="R35">
        <f>IF(OR(K35,L35,AND(M35,NOT(N35))),1,0)</f>
        <v/>
      </c>
      <c r="S35">
        <f>IF(N35,IF(M35,2,1),IF(OR(K35,L35,M35),-2,-1))</f>
        <v/>
      </c>
    </row>
    <row r="36">
      <c r="A36" s="26" t="n">
        <v>3</v>
      </c>
      <c r="B36" s="26" t="n">
        <v>1</v>
      </c>
      <c r="C36" s="26" t="inlineStr">
        <is>
          <t>C</t>
        </is>
      </c>
      <c r="D36" s="25" t="inlineStr">
        <is>
          <t>Brasile</t>
        </is>
      </c>
      <c r="E36" s="25" t="inlineStr">
        <is>
          <t>Scozia</t>
        </is>
      </c>
      <c r="F36" s="29" t="n">
        <v>2.25</v>
      </c>
      <c r="G36" s="26">
        <f>IFERROR(INDEX(Classifiche!$L$4:$L$51,MATCH(D36,Classifiche!$B$4:$B$51,0)),"")</f>
        <v/>
      </c>
      <c r="H36" s="26">
        <f>IFERROR(INDEX(Classifiche!$L$4:$L$51,MATCH(E36,Classifiche!$B$4:$B$51,0)),"")</f>
        <v/>
      </c>
      <c r="I36" s="26">
        <f>IFERROR(INDEX(Classifiche!$M$4:$M$51,MATCH(D36,Classifiche!$B$4:$B$51,0)),FALSE)</f>
        <v/>
      </c>
      <c r="J36" s="26">
        <f>IFERROR(INDEX(Classifiche!$M$4:$M$51,MATCH(E36,Classifiche!$B$4:$B$51,0)),FALSE)</f>
        <v/>
      </c>
      <c r="K36" s="26">
        <f>IFERROR(INDEX(Classifiche!$O$4:$O$51,MATCH(D36,Classifiche!$B$4:$B$51,0)),FALSE)</f>
        <v/>
      </c>
      <c r="L36" s="26">
        <f>IFERROR(INDEX(Classifiche!$O$4:$O$51,MATCH(E36,Classifiche!$B$4:$B$51,0)),FALSE)</f>
        <v/>
      </c>
      <c r="M36" s="26">
        <f>IFERROR(INDEX(Classifiche!$V$4:$V$15,MATCH(C36,Classifiche!$U$4:$U$15,0)),FALSE)</f>
        <v/>
      </c>
      <c r="N36" s="26">
        <f>AND(I36,J36)</f>
        <v/>
      </c>
      <c r="O36" s="25">
        <f>IF(N36,IF(M36,"VINTA (def.)","In vincita"),IF(OR(K36,L36,M36),"PERSA (def.)","In perdita"))</f>
        <v/>
      </c>
      <c r="P36" s="26">
        <f>IF(OR(AND(N36,M36),AND(NOT(N36),OR(K36,L36,M36))),"SI","NO")</f>
        <v/>
      </c>
      <c r="Q36">
        <f>IF(N36,1,0)</f>
        <v/>
      </c>
      <c r="R36">
        <f>IF(OR(K36,L36,AND(M36,NOT(N36))),1,0)</f>
        <v/>
      </c>
      <c r="S36">
        <f>IF(N36,IF(M36,2,1),IF(OR(K36,L36,M36),-2,-1))</f>
        <v/>
      </c>
    </row>
    <row r="37">
      <c r="A37" s="26" t="n">
        <v>3</v>
      </c>
      <c r="B37" s="26" t="n">
        <v>2</v>
      </c>
      <c r="C37" s="26" t="inlineStr">
        <is>
          <t>E</t>
        </is>
      </c>
      <c r="D37" s="25" t="inlineStr">
        <is>
          <t>Germania</t>
        </is>
      </c>
      <c r="E37" s="25" t="inlineStr">
        <is>
          <t>Costa d'Avorio</t>
        </is>
      </c>
      <c r="F37" s="29" t="n">
        <v>2.25</v>
      </c>
      <c r="G37" s="26">
        <f>IFERROR(INDEX(Classifiche!$L$4:$L$51,MATCH(D37,Classifiche!$B$4:$B$51,0)),"")</f>
        <v/>
      </c>
      <c r="H37" s="26">
        <f>IFERROR(INDEX(Classifiche!$L$4:$L$51,MATCH(E37,Classifiche!$B$4:$B$51,0)),"")</f>
        <v/>
      </c>
      <c r="I37" s="26">
        <f>IFERROR(INDEX(Classifiche!$M$4:$M$51,MATCH(D37,Classifiche!$B$4:$B$51,0)),FALSE)</f>
        <v/>
      </c>
      <c r="J37" s="26">
        <f>IFERROR(INDEX(Classifiche!$M$4:$M$51,MATCH(E37,Classifiche!$B$4:$B$51,0)),FALSE)</f>
        <v/>
      </c>
      <c r="K37" s="26">
        <f>IFERROR(INDEX(Classifiche!$O$4:$O$51,MATCH(D37,Classifiche!$B$4:$B$51,0)),FALSE)</f>
        <v/>
      </c>
      <c r="L37" s="26">
        <f>IFERROR(INDEX(Classifiche!$O$4:$O$51,MATCH(E37,Classifiche!$B$4:$B$51,0)),FALSE)</f>
        <v/>
      </c>
      <c r="M37" s="26">
        <f>IFERROR(INDEX(Classifiche!$V$4:$V$15,MATCH(C37,Classifiche!$U$4:$U$15,0)),FALSE)</f>
        <v/>
      </c>
      <c r="N37" s="26">
        <f>AND(I37,J37)</f>
        <v/>
      </c>
      <c r="O37" s="25">
        <f>IF(N37,IF(M37,"VINTA (def.)","In vincita"),IF(OR(K37,L37,M37),"PERSA (def.)","In perdita"))</f>
        <v/>
      </c>
      <c r="P37" s="26">
        <f>IF(OR(AND(N37,M37),AND(NOT(N37),OR(K37,L37,M37))),"SI","NO")</f>
        <v/>
      </c>
      <c r="Q37">
        <f>IF(N37,1,0)</f>
        <v/>
      </c>
      <c r="R37">
        <f>IF(OR(K37,L37,AND(M37,NOT(N37))),1,0)</f>
        <v/>
      </c>
      <c r="S37">
        <f>IF(N37,IF(M37,2,1),IF(OR(K37,L37,M37),-2,-1))</f>
        <v/>
      </c>
    </row>
    <row r="38">
      <c r="A38" s="26" t="n">
        <v>3</v>
      </c>
      <c r="B38" s="26" t="n">
        <v>3</v>
      </c>
      <c r="C38" s="26" t="inlineStr">
        <is>
          <t>F</t>
        </is>
      </c>
      <c r="D38" s="25" t="inlineStr">
        <is>
          <t>Olanda</t>
        </is>
      </c>
      <c r="E38" s="25" t="inlineStr">
        <is>
          <t>Giappone</t>
        </is>
      </c>
      <c r="F38" s="29" t="n">
        <v>2.25</v>
      </c>
      <c r="G38" s="26">
        <f>IFERROR(INDEX(Classifiche!$L$4:$L$51,MATCH(D38,Classifiche!$B$4:$B$51,0)),"")</f>
        <v/>
      </c>
      <c r="H38" s="26">
        <f>IFERROR(INDEX(Classifiche!$L$4:$L$51,MATCH(E38,Classifiche!$B$4:$B$51,0)),"")</f>
        <v/>
      </c>
      <c r="I38" s="26">
        <f>IFERROR(INDEX(Classifiche!$M$4:$M$51,MATCH(D38,Classifiche!$B$4:$B$51,0)),FALSE)</f>
        <v/>
      </c>
      <c r="J38" s="26">
        <f>IFERROR(INDEX(Classifiche!$M$4:$M$51,MATCH(E38,Classifiche!$B$4:$B$51,0)),FALSE)</f>
        <v/>
      </c>
      <c r="K38" s="26">
        <f>IFERROR(INDEX(Classifiche!$O$4:$O$51,MATCH(D38,Classifiche!$B$4:$B$51,0)),FALSE)</f>
        <v/>
      </c>
      <c r="L38" s="26">
        <f>IFERROR(INDEX(Classifiche!$O$4:$O$51,MATCH(E38,Classifiche!$B$4:$B$51,0)),FALSE)</f>
        <v/>
      </c>
      <c r="M38" s="26">
        <f>IFERROR(INDEX(Classifiche!$V$4:$V$15,MATCH(C38,Classifiche!$U$4:$U$15,0)),FALSE)</f>
        <v/>
      </c>
      <c r="N38" s="26">
        <f>AND(I38,J38)</f>
        <v/>
      </c>
      <c r="O38" s="25">
        <f>IF(N38,IF(M38,"VINTA (def.)","In vincita"),IF(OR(K38,L38,M38),"PERSA (def.)","In perdita"))</f>
        <v/>
      </c>
      <c r="P38" s="26">
        <f>IF(OR(AND(N38,M38),AND(NOT(N38),OR(K38,L38,M38))),"SI","NO")</f>
        <v/>
      </c>
      <c r="Q38">
        <f>IF(N38,1,0)</f>
        <v/>
      </c>
      <c r="R38">
        <f>IF(OR(K38,L38,AND(M38,NOT(N38))),1,0)</f>
        <v/>
      </c>
      <c r="S38">
        <f>IF(N38,IF(M38,2,1),IF(OR(K38,L38,M38),-2,-1))</f>
        <v/>
      </c>
    </row>
    <row r="39">
      <c r="A39" s="26" t="n">
        <v>3</v>
      </c>
      <c r="B39" s="26" t="n">
        <v>4</v>
      </c>
      <c r="C39" s="26" t="inlineStr">
        <is>
          <t>F</t>
        </is>
      </c>
      <c r="D39" s="25" t="inlineStr">
        <is>
          <t>Olanda</t>
        </is>
      </c>
      <c r="E39" s="25" t="inlineStr">
        <is>
          <t>Svezia</t>
        </is>
      </c>
      <c r="F39" s="29" t="n">
        <v>2.75</v>
      </c>
      <c r="G39" s="26">
        <f>IFERROR(INDEX(Classifiche!$L$4:$L$51,MATCH(D39,Classifiche!$B$4:$B$51,0)),"")</f>
        <v/>
      </c>
      <c r="H39" s="26">
        <f>IFERROR(INDEX(Classifiche!$L$4:$L$51,MATCH(E39,Classifiche!$B$4:$B$51,0)),"")</f>
        <v/>
      </c>
      <c r="I39" s="26">
        <f>IFERROR(INDEX(Classifiche!$M$4:$M$51,MATCH(D39,Classifiche!$B$4:$B$51,0)),FALSE)</f>
        <v/>
      </c>
      <c r="J39" s="26">
        <f>IFERROR(INDEX(Classifiche!$M$4:$M$51,MATCH(E39,Classifiche!$B$4:$B$51,0)),FALSE)</f>
        <v/>
      </c>
      <c r="K39" s="26">
        <f>IFERROR(INDEX(Classifiche!$O$4:$O$51,MATCH(D39,Classifiche!$B$4:$B$51,0)),FALSE)</f>
        <v/>
      </c>
      <c r="L39" s="26">
        <f>IFERROR(INDEX(Classifiche!$O$4:$O$51,MATCH(E39,Classifiche!$B$4:$B$51,0)),FALSE)</f>
        <v/>
      </c>
      <c r="M39" s="26">
        <f>IFERROR(INDEX(Classifiche!$V$4:$V$15,MATCH(C39,Classifiche!$U$4:$U$15,0)),FALSE)</f>
        <v/>
      </c>
      <c r="N39" s="26">
        <f>AND(I39,J39)</f>
        <v/>
      </c>
      <c r="O39" s="25">
        <f>IF(N39,IF(M39,"VINTA (def.)","In vincita"),IF(OR(K39,L39,M39),"PERSA (def.)","In perdita"))</f>
        <v/>
      </c>
      <c r="P39" s="26">
        <f>IF(OR(AND(N39,M39),AND(NOT(N39),OR(K39,L39,M39))),"SI","NO")</f>
        <v/>
      </c>
      <c r="Q39">
        <f>IF(N39,1,0)</f>
        <v/>
      </c>
      <c r="R39">
        <f>IF(OR(K39,L39,AND(M39,NOT(N39))),1,0)</f>
        <v/>
      </c>
      <c r="S39">
        <f>IF(N39,IF(M39,2,1),IF(OR(K39,L39,M39),-2,-1))</f>
        <v/>
      </c>
    </row>
    <row r="40">
      <c r="A40" s="26" t="n">
        <v>3</v>
      </c>
      <c r="B40" s="26" t="n">
        <v>5</v>
      </c>
      <c r="C40" s="26" t="inlineStr">
        <is>
          <t>F</t>
        </is>
      </c>
      <c r="D40" s="25" t="inlineStr">
        <is>
          <t>Giappone</t>
        </is>
      </c>
      <c r="E40" s="25" t="inlineStr">
        <is>
          <t>Svezia</t>
        </is>
      </c>
      <c r="F40" s="29" t="n">
        <v>5</v>
      </c>
      <c r="G40" s="26">
        <f>IFERROR(INDEX(Classifiche!$L$4:$L$51,MATCH(D40,Classifiche!$B$4:$B$51,0)),"")</f>
        <v/>
      </c>
      <c r="H40" s="26">
        <f>IFERROR(INDEX(Classifiche!$L$4:$L$51,MATCH(E40,Classifiche!$B$4:$B$51,0)),"")</f>
        <v/>
      </c>
      <c r="I40" s="26">
        <f>IFERROR(INDEX(Classifiche!$M$4:$M$51,MATCH(D40,Classifiche!$B$4:$B$51,0)),FALSE)</f>
        <v/>
      </c>
      <c r="J40" s="26">
        <f>IFERROR(INDEX(Classifiche!$M$4:$M$51,MATCH(E40,Classifiche!$B$4:$B$51,0)),FALSE)</f>
        <v/>
      </c>
      <c r="K40" s="26">
        <f>IFERROR(INDEX(Classifiche!$O$4:$O$51,MATCH(D40,Classifiche!$B$4:$B$51,0)),FALSE)</f>
        <v/>
      </c>
      <c r="L40" s="26">
        <f>IFERROR(INDEX(Classifiche!$O$4:$O$51,MATCH(E40,Classifiche!$B$4:$B$51,0)),FALSE)</f>
        <v/>
      </c>
      <c r="M40" s="26">
        <f>IFERROR(INDEX(Classifiche!$V$4:$V$15,MATCH(C40,Classifiche!$U$4:$U$15,0)),FALSE)</f>
        <v/>
      </c>
      <c r="N40" s="26">
        <f>AND(I40,J40)</f>
        <v/>
      </c>
      <c r="O40" s="25">
        <f>IF(N40,IF(M40,"VINTA (def.)","In vincita"),IF(OR(K40,L40,M40),"PERSA (def.)","In perdita"))</f>
        <v/>
      </c>
      <c r="P40" s="26">
        <f>IF(OR(AND(N40,M40),AND(NOT(N40),OR(K40,L40,M40))),"SI","NO")</f>
        <v/>
      </c>
      <c r="Q40">
        <f>IF(N40,1,0)</f>
        <v/>
      </c>
      <c r="R40">
        <f>IF(OR(K40,L40,AND(M40,NOT(N40))),1,0)</f>
        <v/>
      </c>
      <c r="S40">
        <f>IF(N40,IF(M40,2,1),IF(OR(K40,L40,M40),-2,-1))</f>
        <v/>
      </c>
    </row>
    <row r="41">
      <c r="A41" s="26" t="n">
        <v>3</v>
      </c>
      <c r="B41" s="26" t="n">
        <v>6</v>
      </c>
      <c r="C41" s="26" t="inlineStr">
        <is>
          <t>D</t>
        </is>
      </c>
      <c r="D41" s="25" t="inlineStr">
        <is>
          <t>Stati Uniti</t>
        </is>
      </c>
      <c r="E41" s="25" t="inlineStr">
        <is>
          <t>Turchia</t>
        </is>
      </c>
      <c r="F41" s="29" t="n">
        <v>2.25</v>
      </c>
      <c r="G41" s="26">
        <f>IFERROR(INDEX(Classifiche!$L$4:$L$51,MATCH(D41,Classifiche!$B$4:$B$51,0)),"")</f>
        <v/>
      </c>
      <c r="H41" s="26">
        <f>IFERROR(INDEX(Classifiche!$L$4:$L$51,MATCH(E41,Classifiche!$B$4:$B$51,0)),"")</f>
        <v/>
      </c>
      <c r="I41" s="26">
        <f>IFERROR(INDEX(Classifiche!$M$4:$M$51,MATCH(D41,Classifiche!$B$4:$B$51,0)),FALSE)</f>
        <v/>
      </c>
      <c r="J41" s="26">
        <f>IFERROR(INDEX(Classifiche!$M$4:$M$51,MATCH(E41,Classifiche!$B$4:$B$51,0)),FALSE)</f>
        <v/>
      </c>
      <c r="K41" s="26">
        <f>IFERROR(INDEX(Classifiche!$O$4:$O$51,MATCH(D41,Classifiche!$B$4:$B$51,0)),FALSE)</f>
        <v/>
      </c>
      <c r="L41" s="26">
        <f>IFERROR(INDEX(Classifiche!$O$4:$O$51,MATCH(E41,Classifiche!$B$4:$B$51,0)),FALSE)</f>
        <v/>
      </c>
      <c r="M41" s="26">
        <f>IFERROR(INDEX(Classifiche!$V$4:$V$15,MATCH(C41,Classifiche!$U$4:$U$15,0)),FALSE)</f>
        <v/>
      </c>
      <c r="N41" s="26">
        <f>AND(I41,J41)</f>
        <v/>
      </c>
      <c r="O41" s="25">
        <f>IF(N41,IF(M41,"VINTA (def.)","In vincita"),IF(OR(K41,L41,M41),"PERSA (def.)","In perdita"))</f>
        <v/>
      </c>
      <c r="P41" s="26">
        <f>IF(OR(AND(N41,M41),AND(NOT(N41),OR(K41,L41,M41))),"SI","NO")</f>
        <v/>
      </c>
      <c r="Q41">
        <f>IF(N41,1,0)</f>
        <v/>
      </c>
      <c r="R41">
        <f>IF(OR(K41,L41,AND(M41,NOT(N41))),1,0)</f>
        <v/>
      </c>
      <c r="S41">
        <f>IF(N41,IF(M41,2,1),IF(OR(K41,L41,M41),-2,-1))</f>
        <v/>
      </c>
    </row>
    <row r="42">
      <c r="A42" s="26" t="n">
        <v>3</v>
      </c>
      <c r="B42" s="26" t="n">
        <v>7</v>
      </c>
      <c r="C42" s="26" t="inlineStr">
        <is>
          <t>D</t>
        </is>
      </c>
      <c r="D42" s="25" t="inlineStr">
        <is>
          <t>Stati Uniti</t>
        </is>
      </c>
      <c r="E42" s="25" t="inlineStr">
        <is>
          <t>Paraguay</t>
        </is>
      </c>
      <c r="F42" s="29" t="n">
        <v>3.5</v>
      </c>
      <c r="G42" s="26">
        <f>IFERROR(INDEX(Classifiche!$L$4:$L$51,MATCH(D42,Classifiche!$B$4:$B$51,0)),"")</f>
        <v/>
      </c>
      <c r="H42" s="26">
        <f>IFERROR(INDEX(Classifiche!$L$4:$L$51,MATCH(E42,Classifiche!$B$4:$B$51,0)),"")</f>
        <v/>
      </c>
      <c r="I42" s="26">
        <f>IFERROR(INDEX(Classifiche!$M$4:$M$51,MATCH(D42,Classifiche!$B$4:$B$51,0)),FALSE)</f>
        <v/>
      </c>
      <c r="J42" s="26">
        <f>IFERROR(INDEX(Classifiche!$M$4:$M$51,MATCH(E42,Classifiche!$B$4:$B$51,0)),FALSE)</f>
        <v/>
      </c>
      <c r="K42" s="26">
        <f>IFERROR(INDEX(Classifiche!$O$4:$O$51,MATCH(D42,Classifiche!$B$4:$B$51,0)),FALSE)</f>
        <v/>
      </c>
      <c r="L42" s="26">
        <f>IFERROR(INDEX(Classifiche!$O$4:$O$51,MATCH(E42,Classifiche!$B$4:$B$51,0)),FALSE)</f>
        <v/>
      </c>
      <c r="M42" s="26">
        <f>IFERROR(INDEX(Classifiche!$V$4:$V$15,MATCH(C42,Classifiche!$U$4:$U$15,0)),FALSE)</f>
        <v/>
      </c>
      <c r="N42" s="26">
        <f>AND(I42,J42)</f>
        <v/>
      </c>
      <c r="O42" s="25">
        <f>IF(N42,IF(M42,"VINTA (def.)","In vincita"),IF(OR(K42,L42,M42),"PERSA (def.)","In perdita"))</f>
        <v/>
      </c>
      <c r="P42" s="26">
        <f>IF(OR(AND(N42,M42),AND(NOT(N42),OR(K42,L42,M42))),"SI","NO")</f>
        <v/>
      </c>
      <c r="Q42">
        <f>IF(N42,1,0)</f>
        <v/>
      </c>
      <c r="R42">
        <f>IF(OR(K42,L42,AND(M42,NOT(N42))),1,0)</f>
        <v/>
      </c>
      <c r="S42">
        <f>IF(N42,IF(M42,2,1),IF(OR(K42,L42,M42),-2,-1))</f>
        <v/>
      </c>
    </row>
    <row r="43">
      <c r="A43" s="26" t="n">
        <v>3</v>
      </c>
      <c r="B43" s="26" t="n">
        <v>8</v>
      </c>
      <c r="C43" s="26" t="inlineStr">
        <is>
          <t>D</t>
        </is>
      </c>
      <c r="D43" s="25" t="inlineStr">
        <is>
          <t>Turchia</t>
        </is>
      </c>
      <c r="E43" s="25" t="inlineStr">
        <is>
          <t>Paraguay</t>
        </is>
      </c>
      <c r="F43" s="29" t="n">
        <v>4.5</v>
      </c>
      <c r="G43" s="26">
        <f>IFERROR(INDEX(Classifiche!$L$4:$L$51,MATCH(D43,Classifiche!$B$4:$B$51,0)),"")</f>
        <v/>
      </c>
      <c r="H43" s="26">
        <f>IFERROR(INDEX(Classifiche!$L$4:$L$51,MATCH(E43,Classifiche!$B$4:$B$51,0)),"")</f>
        <v/>
      </c>
      <c r="I43" s="26">
        <f>IFERROR(INDEX(Classifiche!$M$4:$M$51,MATCH(D43,Classifiche!$B$4:$B$51,0)),FALSE)</f>
        <v/>
      </c>
      <c r="J43" s="26">
        <f>IFERROR(INDEX(Classifiche!$M$4:$M$51,MATCH(E43,Classifiche!$B$4:$B$51,0)),FALSE)</f>
        <v/>
      </c>
      <c r="K43" s="26">
        <f>IFERROR(INDEX(Classifiche!$O$4:$O$51,MATCH(D43,Classifiche!$B$4:$B$51,0)),FALSE)</f>
        <v/>
      </c>
      <c r="L43" s="26">
        <f>IFERROR(INDEX(Classifiche!$O$4:$O$51,MATCH(E43,Classifiche!$B$4:$B$51,0)),FALSE)</f>
        <v/>
      </c>
      <c r="M43" s="26">
        <f>IFERROR(INDEX(Classifiche!$V$4:$V$15,MATCH(C43,Classifiche!$U$4:$U$15,0)),FALSE)</f>
        <v/>
      </c>
      <c r="N43" s="26">
        <f>AND(I43,J43)</f>
        <v/>
      </c>
      <c r="O43" s="25">
        <f>IF(N43,IF(M43,"VINTA (def.)","In vincita"),IF(OR(K43,L43,M43),"PERSA (def.)","In perdita"))</f>
        <v/>
      </c>
      <c r="P43" s="26">
        <f>IF(OR(AND(N43,M43),AND(NOT(N43),OR(K43,L43,M43))),"SI","NO")</f>
        <v/>
      </c>
      <c r="Q43">
        <f>IF(N43,1,0)</f>
        <v/>
      </c>
      <c r="R43">
        <f>IF(OR(K43,L43,AND(M43,NOT(N43))),1,0)</f>
        <v/>
      </c>
      <c r="S43">
        <f>IF(N43,IF(M43,2,1),IF(OR(K43,L43,M43),-2,-1))</f>
        <v/>
      </c>
    </row>
    <row r="44">
      <c r="A44" s="26" t="n">
        <v>3</v>
      </c>
      <c r="B44" s="26" t="n">
        <v>9</v>
      </c>
      <c r="C44" s="26" t="inlineStr">
        <is>
          <t>I</t>
        </is>
      </c>
      <c r="D44" s="25" t="inlineStr">
        <is>
          <t>Francia</t>
        </is>
      </c>
      <c r="E44" s="25" t="inlineStr">
        <is>
          <t>Senegal</t>
        </is>
      </c>
      <c r="F44" s="29" t="n">
        <v>2.5</v>
      </c>
      <c r="G44" s="26">
        <f>IFERROR(INDEX(Classifiche!$L$4:$L$51,MATCH(D44,Classifiche!$B$4:$B$51,0)),"")</f>
        <v/>
      </c>
      <c r="H44" s="26">
        <f>IFERROR(INDEX(Classifiche!$L$4:$L$51,MATCH(E44,Classifiche!$B$4:$B$51,0)),"")</f>
        <v/>
      </c>
      <c r="I44" s="26">
        <f>IFERROR(INDEX(Classifiche!$M$4:$M$51,MATCH(D44,Classifiche!$B$4:$B$51,0)),FALSE)</f>
        <v/>
      </c>
      <c r="J44" s="26">
        <f>IFERROR(INDEX(Classifiche!$M$4:$M$51,MATCH(E44,Classifiche!$B$4:$B$51,0)),FALSE)</f>
        <v/>
      </c>
      <c r="K44" s="26">
        <f>IFERROR(INDEX(Classifiche!$O$4:$O$51,MATCH(D44,Classifiche!$B$4:$B$51,0)),FALSE)</f>
        <v/>
      </c>
      <c r="L44" s="26">
        <f>IFERROR(INDEX(Classifiche!$O$4:$O$51,MATCH(E44,Classifiche!$B$4:$B$51,0)),FALSE)</f>
        <v/>
      </c>
      <c r="M44" s="26">
        <f>IFERROR(INDEX(Classifiche!$V$4:$V$15,MATCH(C44,Classifiche!$U$4:$U$15,0)),FALSE)</f>
        <v/>
      </c>
      <c r="N44" s="26">
        <f>AND(I44,J44)</f>
        <v/>
      </c>
      <c r="O44" s="25">
        <f>IF(N44,IF(M44,"VINTA (def.)","In vincita"),IF(OR(K44,L44,M44),"PERSA (def.)","In perdita"))</f>
        <v/>
      </c>
      <c r="P44" s="26">
        <f>IF(OR(AND(N44,M44),AND(NOT(N44),OR(K44,L44,M44))),"SI","NO")</f>
        <v/>
      </c>
      <c r="Q44">
        <f>IF(N44,1,0)</f>
        <v/>
      </c>
      <c r="R44">
        <f>IF(OR(K44,L44,AND(M44,NOT(N44))),1,0)</f>
        <v/>
      </c>
      <c r="S44">
        <f>IF(N44,IF(M44,2,1),IF(OR(K44,L44,M44),-2,-1))</f>
        <v/>
      </c>
    </row>
    <row r="45">
      <c r="A45" s="26" t="n">
        <v>3</v>
      </c>
      <c r="B45" s="26" t="n">
        <v>10</v>
      </c>
      <c r="C45" s="26" t="inlineStr">
        <is>
          <t>H</t>
        </is>
      </c>
      <c r="D45" s="25" t="inlineStr">
        <is>
          <t>Spagna</t>
        </is>
      </c>
      <c r="E45" s="25" t="inlineStr">
        <is>
          <t>Uruguay</t>
        </is>
      </c>
      <c r="F45" s="29" t="n">
        <v>1.35</v>
      </c>
      <c r="G45" s="26">
        <f>IFERROR(INDEX(Classifiche!$L$4:$L$51,MATCH(D45,Classifiche!$B$4:$B$51,0)),"")</f>
        <v/>
      </c>
      <c r="H45" s="26">
        <f>IFERROR(INDEX(Classifiche!$L$4:$L$51,MATCH(E45,Classifiche!$B$4:$B$51,0)),"")</f>
        <v/>
      </c>
      <c r="I45" s="26">
        <f>IFERROR(INDEX(Classifiche!$M$4:$M$51,MATCH(D45,Classifiche!$B$4:$B$51,0)),FALSE)</f>
        <v/>
      </c>
      <c r="J45" s="26">
        <f>IFERROR(INDEX(Classifiche!$M$4:$M$51,MATCH(E45,Classifiche!$B$4:$B$51,0)),FALSE)</f>
        <v/>
      </c>
      <c r="K45" s="26">
        <f>IFERROR(INDEX(Classifiche!$O$4:$O$51,MATCH(D45,Classifiche!$B$4:$B$51,0)),FALSE)</f>
        <v/>
      </c>
      <c r="L45" s="26">
        <f>IFERROR(INDEX(Classifiche!$O$4:$O$51,MATCH(E45,Classifiche!$B$4:$B$51,0)),FALSE)</f>
        <v/>
      </c>
      <c r="M45" s="26">
        <f>IFERROR(INDEX(Classifiche!$V$4:$V$15,MATCH(C45,Classifiche!$U$4:$U$15,0)),FALSE)</f>
        <v/>
      </c>
      <c r="N45" s="26">
        <f>AND(I45,J45)</f>
        <v/>
      </c>
      <c r="O45" s="25">
        <f>IF(N45,IF(M45,"VINTA (def.)","In vincita"),IF(OR(K45,L45,M45),"PERSA (def.)","In perdita"))</f>
        <v/>
      </c>
      <c r="P45" s="26">
        <f>IF(OR(AND(N45,M45),AND(NOT(N45),OR(K45,L45,M45))),"SI","NO")</f>
        <v/>
      </c>
      <c r="Q45">
        <f>IF(N45,1,0)</f>
        <v/>
      </c>
      <c r="R45">
        <f>IF(OR(K45,L45,AND(M45,NOT(N45))),1,0)</f>
        <v/>
      </c>
      <c r="S45">
        <f>IF(N45,IF(M45,2,1),IF(OR(K45,L45,M45),-2,-1))</f>
        <v/>
      </c>
    </row>
    <row r="46">
      <c r="A46" s="26" t="n">
        <v>3</v>
      </c>
      <c r="B46" s="26" t="n">
        <v>11</v>
      </c>
      <c r="C46" s="26" t="inlineStr">
        <is>
          <t>G</t>
        </is>
      </c>
      <c r="D46" s="25" t="inlineStr">
        <is>
          <t>Belgio</t>
        </is>
      </c>
      <c r="E46" s="25" t="inlineStr">
        <is>
          <t>Nuova Zelanda</t>
        </is>
      </c>
      <c r="F46" s="29" t="n">
        <v>7.5</v>
      </c>
      <c r="G46" s="26">
        <f>IFERROR(INDEX(Classifiche!$L$4:$L$51,MATCH(D46,Classifiche!$B$4:$B$51,0)),"")</f>
        <v/>
      </c>
      <c r="H46" s="26">
        <f>IFERROR(INDEX(Classifiche!$L$4:$L$51,MATCH(E46,Classifiche!$B$4:$B$51,0)),"")</f>
        <v/>
      </c>
      <c r="I46" s="26">
        <f>IFERROR(INDEX(Classifiche!$M$4:$M$51,MATCH(D46,Classifiche!$B$4:$B$51,0)),FALSE)</f>
        <v/>
      </c>
      <c r="J46" s="26">
        <f>IFERROR(INDEX(Classifiche!$M$4:$M$51,MATCH(E46,Classifiche!$B$4:$B$51,0)),FALSE)</f>
        <v/>
      </c>
      <c r="K46" s="26">
        <f>IFERROR(INDEX(Classifiche!$O$4:$O$51,MATCH(D46,Classifiche!$B$4:$B$51,0)),FALSE)</f>
        <v/>
      </c>
      <c r="L46" s="26">
        <f>IFERROR(INDEX(Classifiche!$O$4:$O$51,MATCH(E46,Classifiche!$B$4:$B$51,0)),FALSE)</f>
        <v/>
      </c>
      <c r="M46" s="26">
        <f>IFERROR(INDEX(Classifiche!$V$4:$V$15,MATCH(C46,Classifiche!$U$4:$U$15,0)),FALSE)</f>
        <v/>
      </c>
      <c r="N46" s="26">
        <f>AND(I46,J46)</f>
        <v/>
      </c>
      <c r="O46" s="25">
        <f>IF(N46,IF(M46,"VINTA (def.)","In vincita"),IF(OR(K46,L46,M46),"PERSA (def.)","In perdita"))</f>
        <v/>
      </c>
      <c r="P46" s="26">
        <f>IF(OR(AND(N46,M46),AND(NOT(N46),OR(K46,L46,M46))),"SI","NO")</f>
        <v/>
      </c>
      <c r="Q46">
        <f>IF(N46,1,0)</f>
        <v/>
      </c>
      <c r="R46">
        <f>IF(OR(K46,L46,AND(M46,NOT(N46))),1,0)</f>
        <v/>
      </c>
      <c r="S46">
        <f>IF(N46,IF(M46,2,1),IF(OR(K46,L46,M46),-2,-1))</f>
        <v/>
      </c>
    </row>
    <row r="47">
      <c r="A47" s="26" t="n">
        <v>3</v>
      </c>
      <c r="B47" s="26" t="n">
        <v>12</v>
      </c>
      <c r="C47" s="26" t="inlineStr">
        <is>
          <t>L</t>
        </is>
      </c>
      <c r="D47" s="25" t="inlineStr">
        <is>
          <t>Inghilterra</t>
        </is>
      </c>
      <c r="E47" s="25" t="inlineStr">
        <is>
          <t>Croazia</t>
        </is>
      </c>
      <c r="F47" s="29" t="n">
        <v>1.35</v>
      </c>
      <c r="G47" s="26">
        <f>IFERROR(INDEX(Classifiche!$L$4:$L$51,MATCH(D47,Classifiche!$B$4:$B$51,0)),"")</f>
        <v/>
      </c>
      <c r="H47" s="26">
        <f>IFERROR(INDEX(Classifiche!$L$4:$L$51,MATCH(E47,Classifiche!$B$4:$B$51,0)),"")</f>
        <v/>
      </c>
      <c r="I47" s="26">
        <f>IFERROR(INDEX(Classifiche!$M$4:$M$51,MATCH(D47,Classifiche!$B$4:$B$51,0)),FALSE)</f>
        <v/>
      </c>
      <c r="J47" s="26">
        <f>IFERROR(INDEX(Classifiche!$M$4:$M$51,MATCH(E47,Classifiche!$B$4:$B$51,0)),FALSE)</f>
        <v/>
      </c>
      <c r="K47" s="26">
        <f>IFERROR(INDEX(Classifiche!$O$4:$O$51,MATCH(D47,Classifiche!$B$4:$B$51,0)),FALSE)</f>
        <v/>
      </c>
      <c r="L47" s="26">
        <f>IFERROR(INDEX(Classifiche!$O$4:$O$51,MATCH(E47,Classifiche!$B$4:$B$51,0)),FALSE)</f>
        <v/>
      </c>
      <c r="M47" s="26">
        <f>IFERROR(INDEX(Classifiche!$V$4:$V$15,MATCH(C47,Classifiche!$U$4:$U$15,0)),FALSE)</f>
        <v/>
      </c>
      <c r="N47" s="26">
        <f>AND(I47,J47)</f>
        <v/>
      </c>
      <c r="O47" s="25">
        <f>IF(N47,IF(M47,"VINTA (def.)","In vincita"),IF(OR(K47,L47,M47),"PERSA (def.)","In perdita"))</f>
        <v/>
      </c>
      <c r="P47" s="26">
        <f>IF(OR(AND(N47,M47),AND(NOT(N47),OR(K47,L47,M47))),"SI","NO")</f>
        <v/>
      </c>
      <c r="Q47">
        <f>IF(N47,1,0)</f>
        <v/>
      </c>
      <c r="R47">
        <f>IF(OR(K47,L47,AND(M47,NOT(N47))),1,0)</f>
        <v/>
      </c>
      <c r="S47">
        <f>IF(N47,IF(M47,2,1),IF(OR(K47,L47,M47),-2,-1))</f>
        <v/>
      </c>
    </row>
    <row r="48">
      <c r="A48" s="26" t="n">
        <v>3</v>
      </c>
      <c r="B48" s="26" t="n">
        <v>13</v>
      </c>
      <c r="C48" s="26" t="inlineStr">
        <is>
          <t>K</t>
        </is>
      </c>
      <c r="D48" s="25" t="inlineStr">
        <is>
          <t>Portogallo</t>
        </is>
      </c>
      <c r="E48" s="25" t="inlineStr">
        <is>
          <t>Colombia</t>
        </is>
      </c>
      <c r="F48" s="29" t="n">
        <v>1.25</v>
      </c>
      <c r="G48" s="26">
        <f>IFERROR(INDEX(Classifiche!$L$4:$L$51,MATCH(D48,Classifiche!$B$4:$B$51,0)),"")</f>
        <v/>
      </c>
      <c r="H48" s="26">
        <f>IFERROR(INDEX(Classifiche!$L$4:$L$51,MATCH(E48,Classifiche!$B$4:$B$51,0)),"")</f>
        <v/>
      </c>
      <c r="I48" s="26">
        <f>IFERROR(INDEX(Classifiche!$M$4:$M$51,MATCH(D48,Classifiche!$B$4:$B$51,0)),FALSE)</f>
        <v/>
      </c>
      <c r="J48" s="26">
        <f>IFERROR(INDEX(Classifiche!$M$4:$M$51,MATCH(E48,Classifiche!$B$4:$B$51,0)),FALSE)</f>
        <v/>
      </c>
      <c r="K48" s="26">
        <f>IFERROR(INDEX(Classifiche!$O$4:$O$51,MATCH(D48,Classifiche!$B$4:$B$51,0)),FALSE)</f>
        <v/>
      </c>
      <c r="L48" s="26">
        <f>IFERROR(INDEX(Classifiche!$O$4:$O$51,MATCH(E48,Classifiche!$B$4:$B$51,0)),FALSE)</f>
        <v/>
      </c>
      <c r="M48" s="26">
        <f>IFERROR(INDEX(Classifiche!$V$4:$V$15,MATCH(C48,Classifiche!$U$4:$U$15,0)),FALSE)</f>
        <v/>
      </c>
      <c r="N48" s="26">
        <f>AND(I48,J48)</f>
        <v/>
      </c>
      <c r="O48" s="25">
        <f>IF(N48,IF(M48,"VINTA (def.)","In vincita"),IF(OR(K48,L48,M48),"PERSA (def.)","In perdita"))</f>
        <v/>
      </c>
      <c r="P48" s="26">
        <f>IF(OR(AND(N48,M48),AND(NOT(N48),OR(K48,L48,M48))),"SI","NO")</f>
        <v/>
      </c>
      <c r="Q48">
        <f>IF(N48,1,0)</f>
        <v/>
      </c>
      <c r="R48">
        <f>IF(OR(K48,L48,AND(M48,NOT(N48))),1,0)</f>
        <v/>
      </c>
      <c r="S48">
        <f>IF(N48,IF(M48,2,1),IF(OR(K48,L48,M48),-2,-1))</f>
        <v/>
      </c>
    </row>
    <row r="49">
      <c r="A49" s="26" t="n">
        <v>3</v>
      </c>
      <c r="B49" s="26" t="n">
        <v>14</v>
      </c>
      <c r="C49" s="26" t="inlineStr">
        <is>
          <t>K</t>
        </is>
      </c>
      <c r="D49" s="25" t="inlineStr">
        <is>
          <t>Portogallo</t>
        </is>
      </c>
      <c r="E49" s="25" t="inlineStr">
        <is>
          <t>Rd Congo</t>
        </is>
      </c>
      <c r="F49" s="29" t="n">
        <v>4.5</v>
      </c>
      <c r="G49" s="26">
        <f>IFERROR(INDEX(Classifiche!$L$4:$L$51,MATCH(D49,Classifiche!$B$4:$B$51,0)),"")</f>
        <v/>
      </c>
      <c r="H49" s="26">
        <f>IFERROR(INDEX(Classifiche!$L$4:$L$51,MATCH(E49,Classifiche!$B$4:$B$51,0)),"")</f>
        <v/>
      </c>
      <c r="I49" s="26">
        <f>IFERROR(INDEX(Classifiche!$M$4:$M$51,MATCH(D49,Classifiche!$B$4:$B$51,0)),FALSE)</f>
        <v/>
      </c>
      <c r="J49" s="26">
        <f>IFERROR(INDEX(Classifiche!$M$4:$M$51,MATCH(E49,Classifiche!$B$4:$B$51,0)),FALSE)</f>
        <v/>
      </c>
      <c r="K49" s="26">
        <f>IFERROR(INDEX(Classifiche!$O$4:$O$51,MATCH(D49,Classifiche!$B$4:$B$51,0)),FALSE)</f>
        <v/>
      </c>
      <c r="L49" s="26">
        <f>IFERROR(INDEX(Classifiche!$O$4:$O$51,MATCH(E49,Classifiche!$B$4:$B$51,0)),FALSE)</f>
        <v/>
      </c>
      <c r="M49" s="26">
        <f>IFERROR(INDEX(Classifiche!$V$4:$V$15,MATCH(C49,Classifiche!$U$4:$U$15,0)),FALSE)</f>
        <v/>
      </c>
      <c r="N49" s="26">
        <f>AND(I49,J49)</f>
        <v/>
      </c>
      <c r="O49" s="25">
        <f>IF(N49,IF(M49,"VINTA (def.)","In vincita"),IF(OR(K49,L49,M49),"PERSA (def.)","In perdita"))</f>
        <v/>
      </c>
      <c r="P49" s="26">
        <f>IF(OR(AND(N49,M49),AND(NOT(N49),OR(K49,L49,M49))),"SI","NO")</f>
        <v/>
      </c>
      <c r="Q49">
        <f>IF(N49,1,0)</f>
        <v/>
      </c>
      <c r="R49">
        <f>IF(OR(K49,L49,AND(M49,NOT(N49))),1,0)</f>
        <v/>
      </c>
      <c r="S49">
        <f>IF(N49,IF(M49,2,1),IF(OR(K49,L49,M49),-2,-1))</f>
        <v/>
      </c>
    </row>
    <row r="50">
      <c r="A50" s="26" t="n">
        <v>3</v>
      </c>
      <c r="B50" s="26" t="n">
        <v>15</v>
      </c>
      <c r="C50" s="26" t="inlineStr">
        <is>
          <t>J</t>
        </is>
      </c>
      <c r="D50" s="25" t="inlineStr">
        <is>
          <t>Argentina</t>
        </is>
      </c>
      <c r="E50" s="25" t="inlineStr">
        <is>
          <t>Algeria</t>
        </is>
      </c>
      <c r="F50" s="29" t="n">
        <v>2.25</v>
      </c>
      <c r="G50" s="26">
        <f>IFERROR(INDEX(Classifiche!$L$4:$L$51,MATCH(D50,Classifiche!$B$4:$B$51,0)),"")</f>
        <v/>
      </c>
      <c r="H50" s="26">
        <f>IFERROR(INDEX(Classifiche!$L$4:$L$51,MATCH(E50,Classifiche!$B$4:$B$51,0)),"")</f>
        <v/>
      </c>
      <c r="I50" s="26">
        <f>IFERROR(INDEX(Classifiche!$M$4:$M$51,MATCH(D50,Classifiche!$B$4:$B$51,0)),FALSE)</f>
        <v/>
      </c>
      <c r="J50" s="26">
        <f>IFERROR(INDEX(Classifiche!$M$4:$M$51,MATCH(E50,Classifiche!$B$4:$B$51,0)),FALSE)</f>
        <v/>
      </c>
      <c r="K50" s="26">
        <f>IFERROR(INDEX(Classifiche!$O$4:$O$51,MATCH(D50,Classifiche!$B$4:$B$51,0)),FALSE)</f>
        <v/>
      </c>
      <c r="L50" s="26">
        <f>IFERROR(INDEX(Classifiche!$O$4:$O$51,MATCH(E50,Classifiche!$B$4:$B$51,0)),FALSE)</f>
        <v/>
      </c>
      <c r="M50" s="26">
        <f>IFERROR(INDEX(Classifiche!$V$4:$V$15,MATCH(C50,Classifiche!$U$4:$U$15,0)),FALSE)</f>
        <v/>
      </c>
      <c r="N50" s="26">
        <f>AND(I50,J50)</f>
        <v/>
      </c>
      <c r="O50" s="25">
        <f>IF(N50,IF(M50,"VINTA (def.)","In vincita"),IF(OR(K50,L50,M50),"PERSA (def.)","In perdita"))</f>
        <v/>
      </c>
      <c r="P50" s="26">
        <f>IF(OR(AND(N50,M50),AND(NOT(N50),OR(K50,L50,M50))),"SI","NO")</f>
        <v/>
      </c>
      <c r="Q50">
        <f>IF(N50,1,0)</f>
        <v/>
      </c>
      <c r="R50">
        <f>IF(OR(K50,L50,AND(M50,NOT(N50))),1,0)</f>
        <v/>
      </c>
      <c r="S50">
        <f>IF(N50,IF(M50,2,1),IF(OR(K50,L50,M50),-2,-1))</f>
        <v/>
      </c>
    </row>
    <row r="51">
      <c r="A51" s="26" t="n">
        <v>4</v>
      </c>
      <c r="B51" s="26" t="n">
        <v>1</v>
      </c>
      <c r="C51" s="26" t="inlineStr">
        <is>
          <t>C</t>
        </is>
      </c>
      <c r="D51" s="25" t="inlineStr">
        <is>
          <t>Brasile</t>
        </is>
      </c>
      <c r="E51" s="25" t="inlineStr">
        <is>
          <t>Scozia</t>
        </is>
      </c>
      <c r="F51" s="29" t="n">
        <v>2.25</v>
      </c>
      <c r="G51" s="26">
        <f>IFERROR(INDEX(Classifiche!$L$4:$L$51,MATCH(D51,Classifiche!$B$4:$B$51,0)),"")</f>
        <v/>
      </c>
      <c r="H51" s="26">
        <f>IFERROR(INDEX(Classifiche!$L$4:$L$51,MATCH(E51,Classifiche!$B$4:$B$51,0)),"")</f>
        <v/>
      </c>
      <c r="I51" s="26">
        <f>IFERROR(INDEX(Classifiche!$M$4:$M$51,MATCH(D51,Classifiche!$B$4:$B$51,0)),FALSE)</f>
        <v/>
      </c>
      <c r="J51" s="26">
        <f>IFERROR(INDEX(Classifiche!$M$4:$M$51,MATCH(E51,Classifiche!$B$4:$B$51,0)),FALSE)</f>
        <v/>
      </c>
      <c r="K51" s="26">
        <f>IFERROR(INDEX(Classifiche!$O$4:$O$51,MATCH(D51,Classifiche!$B$4:$B$51,0)),FALSE)</f>
        <v/>
      </c>
      <c r="L51" s="26">
        <f>IFERROR(INDEX(Classifiche!$O$4:$O$51,MATCH(E51,Classifiche!$B$4:$B$51,0)),FALSE)</f>
        <v/>
      </c>
      <c r="M51" s="26">
        <f>IFERROR(INDEX(Classifiche!$V$4:$V$15,MATCH(C51,Classifiche!$U$4:$U$15,0)),FALSE)</f>
        <v/>
      </c>
      <c r="N51" s="26">
        <f>AND(I51,J51)</f>
        <v/>
      </c>
      <c r="O51" s="25">
        <f>IF(N51,IF(M51,"VINTA (def.)","In vincita"),IF(OR(K51,L51,M51),"PERSA (def.)","In perdita"))</f>
        <v/>
      </c>
      <c r="P51" s="26">
        <f>IF(OR(AND(N51,M51),AND(NOT(N51),OR(K51,L51,M51))),"SI","NO")</f>
        <v/>
      </c>
      <c r="Q51">
        <f>IF(N51,1,0)</f>
        <v/>
      </c>
      <c r="R51">
        <f>IF(OR(K51,L51,AND(M51,NOT(N51))),1,0)</f>
        <v/>
      </c>
      <c r="S51">
        <f>IF(N51,IF(M51,2,1),IF(OR(K51,L51,M51),-2,-1))</f>
        <v/>
      </c>
    </row>
    <row r="52">
      <c r="A52" s="26" t="n">
        <v>4</v>
      </c>
      <c r="B52" s="26" t="n">
        <v>2</v>
      </c>
      <c r="C52" s="26" t="inlineStr">
        <is>
          <t>E</t>
        </is>
      </c>
      <c r="D52" s="25" t="inlineStr">
        <is>
          <t>Germania</t>
        </is>
      </c>
      <c r="E52" s="25" t="inlineStr">
        <is>
          <t>Costa d'Avorio</t>
        </is>
      </c>
      <c r="F52" s="29" t="n">
        <v>2.25</v>
      </c>
      <c r="G52" s="26">
        <f>IFERROR(INDEX(Classifiche!$L$4:$L$51,MATCH(D52,Classifiche!$B$4:$B$51,0)),"")</f>
        <v/>
      </c>
      <c r="H52" s="26">
        <f>IFERROR(INDEX(Classifiche!$L$4:$L$51,MATCH(E52,Classifiche!$B$4:$B$51,0)),"")</f>
        <v/>
      </c>
      <c r="I52" s="26">
        <f>IFERROR(INDEX(Classifiche!$M$4:$M$51,MATCH(D52,Classifiche!$B$4:$B$51,0)),FALSE)</f>
        <v/>
      </c>
      <c r="J52" s="26">
        <f>IFERROR(INDEX(Classifiche!$M$4:$M$51,MATCH(E52,Classifiche!$B$4:$B$51,0)),FALSE)</f>
        <v/>
      </c>
      <c r="K52" s="26">
        <f>IFERROR(INDEX(Classifiche!$O$4:$O$51,MATCH(D52,Classifiche!$B$4:$B$51,0)),FALSE)</f>
        <v/>
      </c>
      <c r="L52" s="26">
        <f>IFERROR(INDEX(Classifiche!$O$4:$O$51,MATCH(E52,Classifiche!$B$4:$B$51,0)),FALSE)</f>
        <v/>
      </c>
      <c r="M52" s="26">
        <f>IFERROR(INDEX(Classifiche!$V$4:$V$15,MATCH(C52,Classifiche!$U$4:$U$15,0)),FALSE)</f>
        <v/>
      </c>
      <c r="N52" s="26">
        <f>AND(I52,J52)</f>
        <v/>
      </c>
      <c r="O52" s="25">
        <f>IF(N52,IF(M52,"VINTA (def.)","In vincita"),IF(OR(K52,L52,M52),"PERSA (def.)","In perdita"))</f>
        <v/>
      </c>
      <c r="P52" s="26">
        <f>IF(OR(AND(N52,M52),AND(NOT(N52),OR(K52,L52,M52))),"SI","NO")</f>
        <v/>
      </c>
      <c r="Q52">
        <f>IF(N52,1,0)</f>
        <v/>
      </c>
      <c r="R52">
        <f>IF(OR(K52,L52,AND(M52,NOT(N52))),1,0)</f>
        <v/>
      </c>
      <c r="S52">
        <f>IF(N52,IF(M52,2,1),IF(OR(K52,L52,M52),-2,-1))</f>
        <v/>
      </c>
    </row>
    <row r="53">
      <c r="A53" s="26" t="n">
        <v>4</v>
      </c>
      <c r="B53" s="26" t="n">
        <v>3</v>
      </c>
      <c r="C53" s="26" t="inlineStr">
        <is>
          <t>F</t>
        </is>
      </c>
      <c r="D53" s="25" t="inlineStr">
        <is>
          <t>Olanda</t>
        </is>
      </c>
      <c r="E53" s="25" t="inlineStr">
        <is>
          <t>Giappone</t>
        </is>
      </c>
      <c r="F53" s="29" t="n">
        <v>2.25</v>
      </c>
      <c r="G53" s="26">
        <f>IFERROR(INDEX(Classifiche!$L$4:$L$51,MATCH(D53,Classifiche!$B$4:$B$51,0)),"")</f>
        <v/>
      </c>
      <c r="H53" s="26">
        <f>IFERROR(INDEX(Classifiche!$L$4:$L$51,MATCH(E53,Classifiche!$B$4:$B$51,0)),"")</f>
        <v/>
      </c>
      <c r="I53" s="26">
        <f>IFERROR(INDEX(Classifiche!$M$4:$M$51,MATCH(D53,Classifiche!$B$4:$B$51,0)),FALSE)</f>
        <v/>
      </c>
      <c r="J53" s="26">
        <f>IFERROR(INDEX(Classifiche!$M$4:$M$51,MATCH(E53,Classifiche!$B$4:$B$51,0)),FALSE)</f>
        <v/>
      </c>
      <c r="K53" s="26">
        <f>IFERROR(INDEX(Classifiche!$O$4:$O$51,MATCH(D53,Classifiche!$B$4:$B$51,0)),FALSE)</f>
        <v/>
      </c>
      <c r="L53" s="26">
        <f>IFERROR(INDEX(Classifiche!$O$4:$O$51,MATCH(E53,Classifiche!$B$4:$B$51,0)),FALSE)</f>
        <v/>
      </c>
      <c r="M53" s="26">
        <f>IFERROR(INDEX(Classifiche!$V$4:$V$15,MATCH(C53,Classifiche!$U$4:$U$15,0)),FALSE)</f>
        <v/>
      </c>
      <c r="N53" s="26">
        <f>AND(I53,J53)</f>
        <v/>
      </c>
      <c r="O53" s="25">
        <f>IF(N53,IF(M53,"VINTA (def.)","In vincita"),IF(OR(K53,L53,M53),"PERSA (def.)","In perdita"))</f>
        <v/>
      </c>
      <c r="P53" s="26">
        <f>IF(OR(AND(N53,M53),AND(NOT(N53),OR(K53,L53,M53))),"SI","NO")</f>
        <v/>
      </c>
      <c r="Q53">
        <f>IF(N53,1,0)</f>
        <v/>
      </c>
      <c r="R53">
        <f>IF(OR(K53,L53,AND(M53,NOT(N53))),1,0)</f>
        <v/>
      </c>
      <c r="S53">
        <f>IF(N53,IF(M53,2,1),IF(OR(K53,L53,M53),-2,-1))</f>
        <v/>
      </c>
    </row>
    <row r="54">
      <c r="A54" s="26" t="n">
        <v>4</v>
      </c>
      <c r="B54" s="26" t="n">
        <v>4</v>
      </c>
      <c r="C54" s="26" t="inlineStr">
        <is>
          <t>F</t>
        </is>
      </c>
      <c r="D54" s="25" t="inlineStr">
        <is>
          <t>Olanda</t>
        </is>
      </c>
      <c r="E54" s="25" t="inlineStr">
        <is>
          <t>Svezia</t>
        </is>
      </c>
      <c r="F54" s="29" t="n">
        <v>2.75</v>
      </c>
      <c r="G54" s="26">
        <f>IFERROR(INDEX(Classifiche!$L$4:$L$51,MATCH(D54,Classifiche!$B$4:$B$51,0)),"")</f>
        <v/>
      </c>
      <c r="H54" s="26">
        <f>IFERROR(INDEX(Classifiche!$L$4:$L$51,MATCH(E54,Classifiche!$B$4:$B$51,0)),"")</f>
        <v/>
      </c>
      <c r="I54" s="26">
        <f>IFERROR(INDEX(Classifiche!$M$4:$M$51,MATCH(D54,Classifiche!$B$4:$B$51,0)),FALSE)</f>
        <v/>
      </c>
      <c r="J54" s="26">
        <f>IFERROR(INDEX(Classifiche!$M$4:$M$51,MATCH(E54,Classifiche!$B$4:$B$51,0)),FALSE)</f>
        <v/>
      </c>
      <c r="K54" s="26">
        <f>IFERROR(INDEX(Classifiche!$O$4:$O$51,MATCH(D54,Classifiche!$B$4:$B$51,0)),FALSE)</f>
        <v/>
      </c>
      <c r="L54" s="26">
        <f>IFERROR(INDEX(Classifiche!$O$4:$O$51,MATCH(E54,Classifiche!$B$4:$B$51,0)),FALSE)</f>
        <v/>
      </c>
      <c r="M54" s="26">
        <f>IFERROR(INDEX(Classifiche!$V$4:$V$15,MATCH(C54,Classifiche!$U$4:$U$15,0)),FALSE)</f>
        <v/>
      </c>
      <c r="N54" s="26">
        <f>AND(I54,J54)</f>
        <v/>
      </c>
      <c r="O54" s="25">
        <f>IF(N54,IF(M54,"VINTA (def.)","In vincita"),IF(OR(K54,L54,M54),"PERSA (def.)","In perdita"))</f>
        <v/>
      </c>
      <c r="P54" s="26">
        <f>IF(OR(AND(N54,M54),AND(NOT(N54),OR(K54,L54,M54))),"SI","NO")</f>
        <v/>
      </c>
      <c r="Q54">
        <f>IF(N54,1,0)</f>
        <v/>
      </c>
      <c r="R54">
        <f>IF(OR(K54,L54,AND(M54,NOT(N54))),1,0)</f>
        <v/>
      </c>
      <c r="S54">
        <f>IF(N54,IF(M54,2,1),IF(OR(K54,L54,M54),-2,-1))</f>
        <v/>
      </c>
    </row>
    <row r="55">
      <c r="A55" s="26" t="n">
        <v>4</v>
      </c>
      <c r="B55" s="26" t="n">
        <v>5</v>
      </c>
      <c r="C55" s="26" t="inlineStr">
        <is>
          <t>F</t>
        </is>
      </c>
      <c r="D55" s="25" t="inlineStr">
        <is>
          <t>Giappone</t>
        </is>
      </c>
      <c r="E55" s="25" t="inlineStr">
        <is>
          <t>Svezia</t>
        </is>
      </c>
      <c r="F55" s="29" t="n">
        <v>5</v>
      </c>
      <c r="G55" s="26">
        <f>IFERROR(INDEX(Classifiche!$L$4:$L$51,MATCH(D55,Classifiche!$B$4:$B$51,0)),"")</f>
        <v/>
      </c>
      <c r="H55" s="26">
        <f>IFERROR(INDEX(Classifiche!$L$4:$L$51,MATCH(E55,Classifiche!$B$4:$B$51,0)),"")</f>
        <v/>
      </c>
      <c r="I55" s="26">
        <f>IFERROR(INDEX(Classifiche!$M$4:$M$51,MATCH(D55,Classifiche!$B$4:$B$51,0)),FALSE)</f>
        <v/>
      </c>
      <c r="J55" s="26">
        <f>IFERROR(INDEX(Classifiche!$M$4:$M$51,MATCH(E55,Classifiche!$B$4:$B$51,0)),FALSE)</f>
        <v/>
      </c>
      <c r="K55" s="26">
        <f>IFERROR(INDEX(Classifiche!$O$4:$O$51,MATCH(D55,Classifiche!$B$4:$B$51,0)),FALSE)</f>
        <v/>
      </c>
      <c r="L55" s="26">
        <f>IFERROR(INDEX(Classifiche!$O$4:$O$51,MATCH(E55,Classifiche!$B$4:$B$51,0)),FALSE)</f>
        <v/>
      </c>
      <c r="M55" s="26">
        <f>IFERROR(INDEX(Classifiche!$V$4:$V$15,MATCH(C55,Classifiche!$U$4:$U$15,0)),FALSE)</f>
        <v/>
      </c>
      <c r="N55" s="26">
        <f>AND(I55,J55)</f>
        <v/>
      </c>
      <c r="O55" s="25">
        <f>IF(N55,IF(M55,"VINTA (def.)","In vincita"),IF(OR(K55,L55,M55),"PERSA (def.)","In perdita"))</f>
        <v/>
      </c>
      <c r="P55" s="26">
        <f>IF(OR(AND(N55,M55),AND(NOT(N55),OR(K55,L55,M55))),"SI","NO")</f>
        <v/>
      </c>
      <c r="Q55">
        <f>IF(N55,1,0)</f>
        <v/>
      </c>
      <c r="R55">
        <f>IF(OR(K55,L55,AND(M55,NOT(N55))),1,0)</f>
        <v/>
      </c>
      <c r="S55">
        <f>IF(N55,IF(M55,2,1),IF(OR(K55,L55,M55),-2,-1))</f>
        <v/>
      </c>
    </row>
    <row r="56">
      <c r="A56" s="26" t="n">
        <v>4</v>
      </c>
      <c r="B56" s="26" t="n">
        <v>6</v>
      </c>
      <c r="C56" s="26" t="inlineStr">
        <is>
          <t>D</t>
        </is>
      </c>
      <c r="D56" s="25" t="inlineStr">
        <is>
          <t>Stati Uniti</t>
        </is>
      </c>
      <c r="E56" s="25" t="inlineStr">
        <is>
          <t>Turchia</t>
        </is>
      </c>
      <c r="F56" s="29" t="n">
        <v>2.25</v>
      </c>
      <c r="G56" s="26">
        <f>IFERROR(INDEX(Classifiche!$L$4:$L$51,MATCH(D56,Classifiche!$B$4:$B$51,0)),"")</f>
        <v/>
      </c>
      <c r="H56" s="26">
        <f>IFERROR(INDEX(Classifiche!$L$4:$L$51,MATCH(E56,Classifiche!$B$4:$B$51,0)),"")</f>
        <v/>
      </c>
      <c r="I56" s="26">
        <f>IFERROR(INDEX(Classifiche!$M$4:$M$51,MATCH(D56,Classifiche!$B$4:$B$51,0)),FALSE)</f>
        <v/>
      </c>
      <c r="J56" s="26">
        <f>IFERROR(INDEX(Classifiche!$M$4:$M$51,MATCH(E56,Classifiche!$B$4:$B$51,0)),FALSE)</f>
        <v/>
      </c>
      <c r="K56" s="26">
        <f>IFERROR(INDEX(Classifiche!$O$4:$O$51,MATCH(D56,Classifiche!$B$4:$B$51,0)),FALSE)</f>
        <v/>
      </c>
      <c r="L56" s="26">
        <f>IFERROR(INDEX(Classifiche!$O$4:$O$51,MATCH(E56,Classifiche!$B$4:$B$51,0)),FALSE)</f>
        <v/>
      </c>
      <c r="M56" s="26">
        <f>IFERROR(INDEX(Classifiche!$V$4:$V$15,MATCH(C56,Classifiche!$U$4:$U$15,0)),FALSE)</f>
        <v/>
      </c>
      <c r="N56" s="26">
        <f>AND(I56,J56)</f>
        <v/>
      </c>
      <c r="O56" s="25">
        <f>IF(N56,IF(M56,"VINTA (def.)","In vincita"),IF(OR(K56,L56,M56),"PERSA (def.)","In perdita"))</f>
        <v/>
      </c>
      <c r="P56" s="26">
        <f>IF(OR(AND(N56,M56),AND(NOT(N56),OR(K56,L56,M56))),"SI","NO")</f>
        <v/>
      </c>
      <c r="Q56">
        <f>IF(N56,1,0)</f>
        <v/>
      </c>
      <c r="R56">
        <f>IF(OR(K56,L56,AND(M56,NOT(N56))),1,0)</f>
        <v/>
      </c>
      <c r="S56">
        <f>IF(N56,IF(M56,2,1),IF(OR(K56,L56,M56),-2,-1))</f>
        <v/>
      </c>
    </row>
    <row r="57">
      <c r="A57" s="26" t="n">
        <v>4</v>
      </c>
      <c r="B57" s="26" t="n">
        <v>7</v>
      </c>
      <c r="C57" s="26" t="inlineStr">
        <is>
          <t>D</t>
        </is>
      </c>
      <c r="D57" s="25" t="inlineStr">
        <is>
          <t>Stati Uniti</t>
        </is>
      </c>
      <c r="E57" s="25" t="inlineStr">
        <is>
          <t>Paraguay</t>
        </is>
      </c>
      <c r="F57" s="29" t="n">
        <v>3.5</v>
      </c>
      <c r="G57" s="26">
        <f>IFERROR(INDEX(Classifiche!$L$4:$L$51,MATCH(D57,Classifiche!$B$4:$B$51,0)),"")</f>
        <v/>
      </c>
      <c r="H57" s="26">
        <f>IFERROR(INDEX(Classifiche!$L$4:$L$51,MATCH(E57,Classifiche!$B$4:$B$51,0)),"")</f>
        <v/>
      </c>
      <c r="I57" s="26">
        <f>IFERROR(INDEX(Classifiche!$M$4:$M$51,MATCH(D57,Classifiche!$B$4:$B$51,0)),FALSE)</f>
        <v/>
      </c>
      <c r="J57" s="26">
        <f>IFERROR(INDEX(Classifiche!$M$4:$M$51,MATCH(E57,Classifiche!$B$4:$B$51,0)),FALSE)</f>
        <v/>
      </c>
      <c r="K57" s="26">
        <f>IFERROR(INDEX(Classifiche!$O$4:$O$51,MATCH(D57,Classifiche!$B$4:$B$51,0)),FALSE)</f>
        <v/>
      </c>
      <c r="L57" s="26">
        <f>IFERROR(INDEX(Classifiche!$O$4:$O$51,MATCH(E57,Classifiche!$B$4:$B$51,0)),FALSE)</f>
        <v/>
      </c>
      <c r="M57" s="26">
        <f>IFERROR(INDEX(Classifiche!$V$4:$V$15,MATCH(C57,Classifiche!$U$4:$U$15,0)),FALSE)</f>
        <v/>
      </c>
      <c r="N57" s="26">
        <f>AND(I57,J57)</f>
        <v/>
      </c>
      <c r="O57" s="25">
        <f>IF(N57,IF(M57,"VINTA (def.)","In vincita"),IF(OR(K57,L57,M57),"PERSA (def.)","In perdita"))</f>
        <v/>
      </c>
      <c r="P57" s="26">
        <f>IF(OR(AND(N57,M57),AND(NOT(N57),OR(K57,L57,M57))),"SI","NO")</f>
        <v/>
      </c>
      <c r="Q57">
        <f>IF(N57,1,0)</f>
        <v/>
      </c>
      <c r="R57">
        <f>IF(OR(K57,L57,AND(M57,NOT(N57))),1,0)</f>
        <v/>
      </c>
      <c r="S57">
        <f>IF(N57,IF(M57,2,1),IF(OR(K57,L57,M57),-2,-1))</f>
        <v/>
      </c>
    </row>
    <row r="58">
      <c r="A58" s="26" t="n">
        <v>4</v>
      </c>
      <c r="B58" s="26" t="n">
        <v>8</v>
      </c>
      <c r="C58" s="26" t="inlineStr">
        <is>
          <t>D</t>
        </is>
      </c>
      <c r="D58" s="25" t="inlineStr">
        <is>
          <t>Turchia</t>
        </is>
      </c>
      <c r="E58" s="25" t="inlineStr">
        <is>
          <t>Paraguay</t>
        </is>
      </c>
      <c r="F58" s="29" t="n">
        <v>4.5</v>
      </c>
      <c r="G58" s="26">
        <f>IFERROR(INDEX(Classifiche!$L$4:$L$51,MATCH(D58,Classifiche!$B$4:$B$51,0)),"")</f>
        <v/>
      </c>
      <c r="H58" s="26">
        <f>IFERROR(INDEX(Classifiche!$L$4:$L$51,MATCH(E58,Classifiche!$B$4:$B$51,0)),"")</f>
        <v/>
      </c>
      <c r="I58" s="26">
        <f>IFERROR(INDEX(Classifiche!$M$4:$M$51,MATCH(D58,Classifiche!$B$4:$B$51,0)),FALSE)</f>
        <v/>
      </c>
      <c r="J58" s="26">
        <f>IFERROR(INDEX(Classifiche!$M$4:$M$51,MATCH(E58,Classifiche!$B$4:$B$51,0)),FALSE)</f>
        <v/>
      </c>
      <c r="K58" s="26">
        <f>IFERROR(INDEX(Classifiche!$O$4:$O$51,MATCH(D58,Classifiche!$B$4:$B$51,0)),FALSE)</f>
        <v/>
      </c>
      <c r="L58" s="26">
        <f>IFERROR(INDEX(Classifiche!$O$4:$O$51,MATCH(E58,Classifiche!$B$4:$B$51,0)),FALSE)</f>
        <v/>
      </c>
      <c r="M58" s="26">
        <f>IFERROR(INDEX(Classifiche!$V$4:$V$15,MATCH(C58,Classifiche!$U$4:$U$15,0)),FALSE)</f>
        <v/>
      </c>
      <c r="N58" s="26">
        <f>AND(I58,J58)</f>
        <v/>
      </c>
      <c r="O58" s="25">
        <f>IF(N58,IF(M58,"VINTA (def.)","In vincita"),IF(OR(K58,L58,M58),"PERSA (def.)","In perdita"))</f>
        <v/>
      </c>
      <c r="P58" s="26">
        <f>IF(OR(AND(N58,M58),AND(NOT(N58),OR(K58,L58,M58))),"SI","NO")</f>
        <v/>
      </c>
      <c r="Q58">
        <f>IF(N58,1,0)</f>
        <v/>
      </c>
      <c r="R58">
        <f>IF(OR(K58,L58,AND(M58,NOT(N58))),1,0)</f>
        <v/>
      </c>
      <c r="S58">
        <f>IF(N58,IF(M58,2,1),IF(OR(K58,L58,M58),-2,-1))</f>
        <v/>
      </c>
    </row>
    <row r="59">
      <c r="A59" s="26" t="n">
        <v>4</v>
      </c>
      <c r="B59" s="26" t="n">
        <v>9</v>
      </c>
      <c r="C59" s="26" t="inlineStr">
        <is>
          <t>I</t>
        </is>
      </c>
      <c r="D59" s="25" t="inlineStr">
        <is>
          <t>Francia</t>
        </is>
      </c>
      <c r="E59" s="25" t="inlineStr">
        <is>
          <t>Senegal</t>
        </is>
      </c>
      <c r="F59" s="29" t="n">
        <v>2.5</v>
      </c>
      <c r="G59" s="26">
        <f>IFERROR(INDEX(Classifiche!$L$4:$L$51,MATCH(D59,Classifiche!$B$4:$B$51,0)),"")</f>
        <v/>
      </c>
      <c r="H59" s="26">
        <f>IFERROR(INDEX(Classifiche!$L$4:$L$51,MATCH(E59,Classifiche!$B$4:$B$51,0)),"")</f>
        <v/>
      </c>
      <c r="I59" s="26">
        <f>IFERROR(INDEX(Classifiche!$M$4:$M$51,MATCH(D59,Classifiche!$B$4:$B$51,0)),FALSE)</f>
        <v/>
      </c>
      <c r="J59" s="26">
        <f>IFERROR(INDEX(Classifiche!$M$4:$M$51,MATCH(E59,Classifiche!$B$4:$B$51,0)),FALSE)</f>
        <v/>
      </c>
      <c r="K59" s="26">
        <f>IFERROR(INDEX(Classifiche!$O$4:$O$51,MATCH(D59,Classifiche!$B$4:$B$51,0)),FALSE)</f>
        <v/>
      </c>
      <c r="L59" s="26">
        <f>IFERROR(INDEX(Classifiche!$O$4:$O$51,MATCH(E59,Classifiche!$B$4:$B$51,0)),FALSE)</f>
        <v/>
      </c>
      <c r="M59" s="26">
        <f>IFERROR(INDEX(Classifiche!$V$4:$V$15,MATCH(C59,Classifiche!$U$4:$U$15,0)),FALSE)</f>
        <v/>
      </c>
      <c r="N59" s="26">
        <f>AND(I59,J59)</f>
        <v/>
      </c>
      <c r="O59" s="25">
        <f>IF(N59,IF(M59,"VINTA (def.)","In vincita"),IF(OR(K59,L59,M59),"PERSA (def.)","In perdita"))</f>
        <v/>
      </c>
      <c r="P59" s="26">
        <f>IF(OR(AND(N59,M59),AND(NOT(N59),OR(K59,L59,M59))),"SI","NO")</f>
        <v/>
      </c>
      <c r="Q59">
        <f>IF(N59,1,0)</f>
        <v/>
      </c>
      <c r="R59">
        <f>IF(OR(K59,L59,AND(M59,NOT(N59))),1,0)</f>
        <v/>
      </c>
      <c r="S59">
        <f>IF(N59,IF(M59,2,1),IF(OR(K59,L59,M59),-2,-1))</f>
        <v/>
      </c>
    </row>
    <row r="60">
      <c r="A60" s="26" t="n">
        <v>4</v>
      </c>
      <c r="B60" s="26" t="n">
        <v>10</v>
      </c>
      <c r="C60" s="26" t="inlineStr">
        <is>
          <t>H</t>
        </is>
      </c>
      <c r="D60" s="25" t="inlineStr">
        <is>
          <t>Spagna</t>
        </is>
      </c>
      <c r="E60" s="25" t="inlineStr">
        <is>
          <t>Uruguay</t>
        </is>
      </c>
      <c r="F60" s="29" t="n">
        <v>1.35</v>
      </c>
      <c r="G60" s="26">
        <f>IFERROR(INDEX(Classifiche!$L$4:$L$51,MATCH(D60,Classifiche!$B$4:$B$51,0)),"")</f>
        <v/>
      </c>
      <c r="H60" s="26">
        <f>IFERROR(INDEX(Classifiche!$L$4:$L$51,MATCH(E60,Classifiche!$B$4:$B$51,0)),"")</f>
        <v/>
      </c>
      <c r="I60" s="26">
        <f>IFERROR(INDEX(Classifiche!$M$4:$M$51,MATCH(D60,Classifiche!$B$4:$B$51,0)),FALSE)</f>
        <v/>
      </c>
      <c r="J60" s="26">
        <f>IFERROR(INDEX(Classifiche!$M$4:$M$51,MATCH(E60,Classifiche!$B$4:$B$51,0)),FALSE)</f>
        <v/>
      </c>
      <c r="K60" s="26">
        <f>IFERROR(INDEX(Classifiche!$O$4:$O$51,MATCH(D60,Classifiche!$B$4:$B$51,0)),FALSE)</f>
        <v/>
      </c>
      <c r="L60" s="26">
        <f>IFERROR(INDEX(Classifiche!$O$4:$O$51,MATCH(E60,Classifiche!$B$4:$B$51,0)),FALSE)</f>
        <v/>
      </c>
      <c r="M60" s="26">
        <f>IFERROR(INDEX(Classifiche!$V$4:$V$15,MATCH(C60,Classifiche!$U$4:$U$15,0)),FALSE)</f>
        <v/>
      </c>
      <c r="N60" s="26">
        <f>AND(I60,J60)</f>
        <v/>
      </c>
      <c r="O60" s="25">
        <f>IF(N60,IF(M60,"VINTA (def.)","In vincita"),IF(OR(K60,L60,M60),"PERSA (def.)","In perdita"))</f>
        <v/>
      </c>
      <c r="P60" s="26">
        <f>IF(OR(AND(N60,M60),AND(NOT(N60),OR(K60,L60,M60))),"SI","NO")</f>
        <v/>
      </c>
      <c r="Q60">
        <f>IF(N60,1,0)</f>
        <v/>
      </c>
      <c r="R60">
        <f>IF(OR(K60,L60,AND(M60,NOT(N60))),1,0)</f>
        <v/>
      </c>
      <c r="S60">
        <f>IF(N60,IF(M60,2,1),IF(OR(K60,L60,M60),-2,-1))</f>
        <v/>
      </c>
    </row>
    <row r="61">
      <c r="A61" s="26" t="n">
        <v>4</v>
      </c>
      <c r="B61" s="26" t="n">
        <v>11</v>
      </c>
      <c r="C61" s="26" t="inlineStr">
        <is>
          <t>G</t>
        </is>
      </c>
      <c r="D61" s="25" t="inlineStr">
        <is>
          <t>Belgio</t>
        </is>
      </c>
      <c r="E61" s="25" t="inlineStr">
        <is>
          <t>Iran</t>
        </is>
      </c>
      <c r="F61" s="29" t="n">
        <v>2.5</v>
      </c>
      <c r="G61" s="26">
        <f>IFERROR(INDEX(Classifiche!$L$4:$L$51,MATCH(D61,Classifiche!$B$4:$B$51,0)),"")</f>
        <v/>
      </c>
      <c r="H61" s="26">
        <f>IFERROR(INDEX(Classifiche!$L$4:$L$51,MATCH(E61,Classifiche!$B$4:$B$51,0)),"")</f>
        <v/>
      </c>
      <c r="I61" s="26">
        <f>IFERROR(INDEX(Classifiche!$M$4:$M$51,MATCH(D61,Classifiche!$B$4:$B$51,0)),FALSE)</f>
        <v/>
      </c>
      <c r="J61" s="26">
        <f>IFERROR(INDEX(Classifiche!$M$4:$M$51,MATCH(E61,Classifiche!$B$4:$B$51,0)),FALSE)</f>
        <v/>
      </c>
      <c r="K61" s="26">
        <f>IFERROR(INDEX(Classifiche!$O$4:$O$51,MATCH(D61,Classifiche!$B$4:$B$51,0)),FALSE)</f>
        <v/>
      </c>
      <c r="L61" s="26">
        <f>IFERROR(INDEX(Classifiche!$O$4:$O$51,MATCH(E61,Classifiche!$B$4:$B$51,0)),FALSE)</f>
        <v/>
      </c>
      <c r="M61" s="26">
        <f>IFERROR(INDEX(Classifiche!$V$4:$V$15,MATCH(C61,Classifiche!$U$4:$U$15,0)),FALSE)</f>
        <v/>
      </c>
      <c r="N61" s="26">
        <f>AND(I61,J61)</f>
        <v/>
      </c>
      <c r="O61" s="25">
        <f>IF(N61,IF(M61,"VINTA (def.)","In vincita"),IF(OR(K61,L61,M61),"PERSA (def.)","In perdita"))</f>
        <v/>
      </c>
      <c r="P61" s="26">
        <f>IF(OR(AND(N61,M61),AND(NOT(N61),OR(K61,L61,M61))),"SI","NO")</f>
        <v/>
      </c>
      <c r="Q61">
        <f>IF(N61,1,0)</f>
        <v/>
      </c>
      <c r="R61">
        <f>IF(OR(K61,L61,AND(M61,NOT(N61))),1,0)</f>
        <v/>
      </c>
      <c r="S61">
        <f>IF(N61,IF(M61,2,1),IF(OR(K61,L61,M61),-2,-1))</f>
        <v/>
      </c>
    </row>
    <row r="62">
      <c r="A62" s="26" t="n">
        <v>4</v>
      </c>
      <c r="B62" s="26" t="n">
        <v>12</v>
      </c>
      <c r="C62" s="26" t="inlineStr">
        <is>
          <t>G</t>
        </is>
      </c>
      <c r="D62" s="25" t="inlineStr">
        <is>
          <t>Belgio</t>
        </is>
      </c>
      <c r="E62" s="25" t="inlineStr">
        <is>
          <t>Egitto</t>
        </is>
      </c>
      <c r="F62" s="29" t="n">
        <v>1.85</v>
      </c>
      <c r="G62" s="26">
        <f>IFERROR(INDEX(Classifiche!$L$4:$L$51,MATCH(D62,Classifiche!$B$4:$B$51,0)),"")</f>
        <v/>
      </c>
      <c r="H62" s="26">
        <f>IFERROR(INDEX(Classifiche!$L$4:$L$51,MATCH(E62,Classifiche!$B$4:$B$51,0)),"")</f>
        <v/>
      </c>
      <c r="I62" s="26">
        <f>IFERROR(INDEX(Classifiche!$M$4:$M$51,MATCH(D62,Classifiche!$B$4:$B$51,0)),FALSE)</f>
        <v/>
      </c>
      <c r="J62" s="26">
        <f>IFERROR(INDEX(Classifiche!$M$4:$M$51,MATCH(E62,Classifiche!$B$4:$B$51,0)),FALSE)</f>
        <v/>
      </c>
      <c r="K62" s="26">
        <f>IFERROR(INDEX(Classifiche!$O$4:$O$51,MATCH(D62,Classifiche!$B$4:$B$51,0)),FALSE)</f>
        <v/>
      </c>
      <c r="L62" s="26">
        <f>IFERROR(INDEX(Classifiche!$O$4:$O$51,MATCH(E62,Classifiche!$B$4:$B$51,0)),FALSE)</f>
        <v/>
      </c>
      <c r="M62" s="26">
        <f>IFERROR(INDEX(Classifiche!$V$4:$V$15,MATCH(C62,Classifiche!$U$4:$U$15,0)),FALSE)</f>
        <v/>
      </c>
      <c r="N62" s="26">
        <f>AND(I62,J62)</f>
        <v/>
      </c>
      <c r="O62" s="25">
        <f>IF(N62,IF(M62,"VINTA (def.)","In vincita"),IF(OR(K62,L62,M62),"PERSA (def.)","In perdita"))</f>
        <v/>
      </c>
      <c r="P62" s="26">
        <f>IF(OR(AND(N62,M62),AND(NOT(N62),OR(K62,L62,M62))),"SI","NO")</f>
        <v/>
      </c>
      <c r="Q62">
        <f>IF(N62,1,0)</f>
        <v/>
      </c>
      <c r="R62">
        <f>IF(OR(K62,L62,AND(M62,NOT(N62))),1,0)</f>
        <v/>
      </c>
      <c r="S62">
        <f>IF(N62,IF(M62,2,1),IF(OR(K62,L62,M62),-2,-1))</f>
        <v/>
      </c>
    </row>
    <row r="63">
      <c r="A63" s="26" t="n">
        <v>4</v>
      </c>
      <c r="B63" s="26" t="n">
        <v>13</v>
      </c>
      <c r="C63" s="26" t="inlineStr">
        <is>
          <t>L</t>
        </is>
      </c>
      <c r="D63" s="25" t="inlineStr">
        <is>
          <t>Inghilterra</t>
        </is>
      </c>
      <c r="E63" s="25" t="inlineStr">
        <is>
          <t>Croazia</t>
        </is>
      </c>
      <c r="F63" s="29" t="n">
        <v>1.35</v>
      </c>
      <c r="G63" s="26">
        <f>IFERROR(INDEX(Classifiche!$L$4:$L$51,MATCH(D63,Classifiche!$B$4:$B$51,0)),"")</f>
        <v/>
      </c>
      <c r="H63" s="26">
        <f>IFERROR(INDEX(Classifiche!$L$4:$L$51,MATCH(E63,Classifiche!$B$4:$B$51,0)),"")</f>
        <v/>
      </c>
      <c r="I63" s="26">
        <f>IFERROR(INDEX(Classifiche!$M$4:$M$51,MATCH(D63,Classifiche!$B$4:$B$51,0)),FALSE)</f>
        <v/>
      </c>
      <c r="J63" s="26">
        <f>IFERROR(INDEX(Classifiche!$M$4:$M$51,MATCH(E63,Classifiche!$B$4:$B$51,0)),FALSE)</f>
        <v/>
      </c>
      <c r="K63" s="26">
        <f>IFERROR(INDEX(Classifiche!$O$4:$O$51,MATCH(D63,Classifiche!$B$4:$B$51,0)),FALSE)</f>
        <v/>
      </c>
      <c r="L63" s="26">
        <f>IFERROR(INDEX(Classifiche!$O$4:$O$51,MATCH(E63,Classifiche!$B$4:$B$51,0)),FALSE)</f>
        <v/>
      </c>
      <c r="M63" s="26">
        <f>IFERROR(INDEX(Classifiche!$V$4:$V$15,MATCH(C63,Classifiche!$U$4:$U$15,0)),FALSE)</f>
        <v/>
      </c>
      <c r="N63" s="26">
        <f>AND(I63,J63)</f>
        <v/>
      </c>
      <c r="O63" s="25">
        <f>IF(N63,IF(M63,"VINTA (def.)","In vincita"),IF(OR(K63,L63,M63),"PERSA (def.)","In perdita"))</f>
        <v/>
      </c>
      <c r="P63" s="26">
        <f>IF(OR(AND(N63,M63),AND(NOT(N63),OR(K63,L63,M63))),"SI","NO")</f>
        <v/>
      </c>
      <c r="Q63">
        <f>IF(N63,1,0)</f>
        <v/>
      </c>
      <c r="R63">
        <f>IF(OR(K63,L63,AND(M63,NOT(N63))),1,0)</f>
        <v/>
      </c>
      <c r="S63">
        <f>IF(N63,IF(M63,2,1),IF(OR(K63,L63,M63),-2,-1))</f>
        <v/>
      </c>
    </row>
    <row r="64">
      <c r="A64" s="26" t="n">
        <v>4</v>
      </c>
      <c r="B64" s="26" t="n">
        <v>14</v>
      </c>
      <c r="C64" s="26" t="inlineStr">
        <is>
          <t>K</t>
        </is>
      </c>
      <c r="D64" s="25" t="inlineStr">
        <is>
          <t>Portogallo</t>
        </is>
      </c>
      <c r="E64" s="25" t="inlineStr">
        <is>
          <t>Colombia</t>
        </is>
      </c>
      <c r="F64" s="29" t="n">
        <v>1.25</v>
      </c>
      <c r="G64" s="26">
        <f>IFERROR(INDEX(Classifiche!$L$4:$L$51,MATCH(D64,Classifiche!$B$4:$B$51,0)),"")</f>
        <v/>
      </c>
      <c r="H64" s="26">
        <f>IFERROR(INDEX(Classifiche!$L$4:$L$51,MATCH(E64,Classifiche!$B$4:$B$51,0)),"")</f>
        <v/>
      </c>
      <c r="I64" s="26">
        <f>IFERROR(INDEX(Classifiche!$M$4:$M$51,MATCH(D64,Classifiche!$B$4:$B$51,0)),FALSE)</f>
        <v/>
      </c>
      <c r="J64" s="26">
        <f>IFERROR(INDEX(Classifiche!$M$4:$M$51,MATCH(E64,Classifiche!$B$4:$B$51,0)),FALSE)</f>
        <v/>
      </c>
      <c r="K64" s="26">
        <f>IFERROR(INDEX(Classifiche!$O$4:$O$51,MATCH(D64,Classifiche!$B$4:$B$51,0)),FALSE)</f>
        <v/>
      </c>
      <c r="L64" s="26">
        <f>IFERROR(INDEX(Classifiche!$O$4:$O$51,MATCH(E64,Classifiche!$B$4:$B$51,0)),FALSE)</f>
        <v/>
      </c>
      <c r="M64" s="26">
        <f>IFERROR(INDEX(Classifiche!$V$4:$V$15,MATCH(C64,Classifiche!$U$4:$U$15,0)),FALSE)</f>
        <v/>
      </c>
      <c r="N64" s="26">
        <f>AND(I64,J64)</f>
        <v/>
      </c>
      <c r="O64" s="25">
        <f>IF(N64,IF(M64,"VINTA (def.)","In vincita"),IF(OR(K64,L64,M64),"PERSA (def.)","In perdita"))</f>
        <v/>
      </c>
      <c r="P64" s="26">
        <f>IF(OR(AND(N64,M64),AND(NOT(N64),OR(K64,L64,M64))),"SI","NO")</f>
        <v/>
      </c>
      <c r="Q64">
        <f>IF(N64,1,0)</f>
        <v/>
      </c>
      <c r="R64">
        <f>IF(OR(K64,L64,AND(M64,NOT(N64))),1,0)</f>
        <v/>
      </c>
      <c r="S64">
        <f>IF(N64,IF(M64,2,1),IF(OR(K64,L64,M64),-2,-1))</f>
        <v/>
      </c>
    </row>
    <row r="65">
      <c r="A65" s="26" t="n">
        <v>4</v>
      </c>
      <c r="B65" s="26" t="n">
        <v>15</v>
      </c>
      <c r="C65" s="26" t="inlineStr">
        <is>
          <t>K</t>
        </is>
      </c>
      <c r="D65" s="25" t="inlineStr">
        <is>
          <t>Portogallo</t>
        </is>
      </c>
      <c r="E65" s="25" t="inlineStr">
        <is>
          <t>Rd Congo</t>
        </is>
      </c>
      <c r="F65" s="29" t="n">
        <v>4.5</v>
      </c>
      <c r="G65" s="26">
        <f>IFERROR(INDEX(Classifiche!$L$4:$L$51,MATCH(D65,Classifiche!$B$4:$B$51,0)),"")</f>
        <v/>
      </c>
      <c r="H65" s="26">
        <f>IFERROR(INDEX(Classifiche!$L$4:$L$51,MATCH(E65,Classifiche!$B$4:$B$51,0)),"")</f>
        <v/>
      </c>
      <c r="I65" s="26">
        <f>IFERROR(INDEX(Classifiche!$M$4:$M$51,MATCH(D65,Classifiche!$B$4:$B$51,0)),FALSE)</f>
        <v/>
      </c>
      <c r="J65" s="26">
        <f>IFERROR(INDEX(Classifiche!$M$4:$M$51,MATCH(E65,Classifiche!$B$4:$B$51,0)),FALSE)</f>
        <v/>
      </c>
      <c r="K65" s="26">
        <f>IFERROR(INDEX(Classifiche!$O$4:$O$51,MATCH(D65,Classifiche!$B$4:$B$51,0)),FALSE)</f>
        <v/>
      </c>
      <c r="L65" s="26">
        <f>IFERROR(INDEX(Classifiche!$O$4:$O$51,MATCH(E65,Classifiche!$B$4:$B$51,0)),FALSE)</f>
        <v/>
      </c>
      <c r="M65" s="26">
        <f>IFERROR(INDEX(Classifiche!$V$4:$V$15,MATCH(C65,Classifiche!$U$4:$U$15,0)),FALSE)</f>
        <v/>
      </c>
      <c r="N65" s="26">
        <f>AND(I65,J65)</f>
        <v/>
      </c>
      <c r="O65" s="25">
        <f>IF(N65,IF(M65,"VINTA (def.)","In vincita"),IF(OR(K65,L65,M65),"PERSA (def.)","In perdita"))</f>
        <v/>
      </c>
      <c r="P65" s="26">
        <f>IF(OR(AND(N65,M65),AND(NOT(N65),OR(K65,L65,M65))),"SI","NO")</f>
        <v/>
      </c>
      <c r="Q65">
        <f>IF(N65,1,0)</f>
        <v/>
      </c>
      <c r="R65">
        <f>IF(OR(K65,L65,AND(M65,NOT(N65))),1,0)</f>
        <v/>
      </c>
      <c r="S65">
        <f>IF(N65,IF(M65,2,1),IF(OR(K65,L65,M65),-2,-1))</f>
        <v/>
      </c>
    </row>
    <row r="66">
      <c r="A66" s="26" t="n">
        <v>4</v>
      </c>
      <c r="B66" s="26" t="n">
        <v>16</v>
      </c>
      <c r="C66" s="26" t="inlineStr">
        <is>
          <t>J</t>
        </is>
      </c>
      <c r="D66" s="25" t="inlineStr">
        <is>
          <t>Argentina</t>
        </is>
      </c>
      <c r="E66" s="25" t="inlineStr">
        <is>
          <t>Algeria</t>
        </is>
      </c>
      <c r="F66" s="29" t="n">
        <v>2.25</v>
      </c>
      <c r="G66" s="26">
        <f>IFERROR(INDEX(Classifiche!$L$4:$L$51,MATCH(D66,Classifiche!$B$4:$B$51,0)),"")</f>
        <v/>
      </c>
      <c r="H66" s="26">
        <f>IFERROR(INDEX(Classifiche!$L$4:$L$51,MATCH(E66,Classifiche!$B$4:$B$51,0)),"")</f>
        <v/>
      </c>
      <c r="I66" s="26">
        <f>IFERROR(INDEX(Classifiche!$M$4:$M$51,MATCH(D66,Classifiche!$B$4:$B$51,0)),FALSE)</f>
        <v/>
      </c>
      <c r="J66" s="26">
        <f>IFERROR(INDEX(Classifiche!$M$4:$M$51,MATCH(E66,Classifiche!$B$4:$B$51,0)),FALSE)</f>
        <v/>
      </c>
      <c r="K66" s="26">
        <f>IFERROR(INDEX(Classifiche!$O$4:$O$51,MATCH(D66,Classifiche!$B$4:$B$51,0)),FALSE)</f>
        <v/>
      </c>
      <c r="L66" s="26">
        <f>IFERROR(INDEX(Classifiche!$O$4:$O$51,MATCH(E66,Classifiche!$B$4:$B$51,0)),FALSE)</f>
        <v/>
      </c>
      <c r="M66" s="26">
        <f>IFERROR(INDEX(Classifiche!$V$4:$V$15,MATCH(C66,Classifiche!$U$4:$U$15,0)),FALSE)</f>
        <v/>
      </c>
      <c r="N66" s="26">
        <f>AND(I66,J66)</f>
        <v/>
      </c>
      <c r="O66" s="25">
        <f>IF(N66,IF(M66,"VINTA (def.)","In vincita"),IF(OR(K66,L66,M66),"PERSA (def.)","In perdita"))</f>
        <v/>
      </c>
      <c r="P66" s="26">
        <f>IF(OR(AND(N66,M66),AND(NOT(N66),OR(K66,L66,M66))),"SI","NO")</f>
        <v/>
      </c>
      <c r="Q66">
        <f>IF(N66,1,0)</f>
        <v/>
      </c>
      <c r="R66">
        <f>IF(OR(K66,L66,AND(M66,NOT(N66))),1,0)</f>
        <v/>
      </c>
      <c r="S66">
        <f>IF(N66,IF(M66,2,1),IF(OR(K66,L66,M66),-2,-1))</f>
        <v/>
      </c>
    </row>
    <row r="67">
      <c r="A67" s="26" t="n">
        <v>5</v>
      </c>
      <c r="B67" s="26" t="n">
        <v>1</v>
      </c>
      <c r="C67" s="26" t="inlineStr">
        <is>
          <t>C</t>
        </is>
      </c>
      <c r="D67" s="25" t="inlineStr">
        <is>
          <t>Brasile</t>
        </is>
      </c>
      <c r="E67" s="25" t="inlineStr">
        <is>
          <t>Marocco</t>
        </is>
      </c>
      <c r="F67" s="29" t="n">
        <v>1.6</v>
      </c>
      <c r="G67" s="26">
        <f>IFERROR(INDEX(Classifiche!$L$4:$L$51,MATCH(D67,Classifiche!$B$4:$B$51,0)),"")</f>
        <v/>
      </c>
      <c r="H67" s="26">
        <f>IFERROR(INDEX(Classifiche!$L$4:$L$51,MATCH(E67,Classifiche!$B$4:$B$51,0)),"")</f>
        <v/>
      </c>
      <c r="I67" s="26">
        <f>IFERROR(INDEX(Classifiche!$M$4:$M$51,MATCH(D67,Classifiche!$B$4:$B$51,0)),FALSE)</f>
        <v/>
      </c>
      <c r="J67" s="26">
        <f>IFERROR(INDEX(Classifiche!$M$4:$M$51,MATCH(E67,Classifiche!$B$4:$B$51,0)),FALSE)</f>
        <v/>
      </c>
      <c r="K67" s="26">
        <f>IFERROR(INDEX(Classifiche!$O$4:$O$51,MATCH(D67,Classifiche!$B$4:$B$51,0)),FALSE)</f>
        <v/>
      </c>
      <c r="L67" s="26">
        <f>IFERROR(INDEX(Classifiche!$O$4:$O$51,MATCH(E67,Classifiche!$B$4:$B$51,0)),FALSE)</f>
        <v/>
      </c>
      <c r="M67" s="26">
        <f>IFERROR(INDEX(Classifiche!$V$4:$V$15,MATCH(C67,Classifiche!$U$4:$U$15,0)),FALSE)</f>
        <v/>
      </c>
      <c r="N67" s="26">
        <f>AND(I67,J67)</f>
        <v/>
      </c>
      <c r="O67" s="25">
        <f>IF(N67,IF(M67,"VINTA (def.)","In vincita"),IF(OR(K67,L67,M67),"PERSA (def.)","In perdita"))</f>
        <v/>
      </c>
      <c r="P67" s="26">
        <f>IF(OR(AND(N67,M67),AND(NOT(N67),OR(K67,L67,M67))),"SI","NO")</f>
        <v/>
      </c>
      <c r="Q67">
        <f>IF(N67,1,0)</f>
        <v/>
      </c>
      <c r="R67">
        <f>IF(OR(K67,L67,AND(M67,NOT(N67))),1,0)</f>
        <v/>
      </c>
      <c r="S67">
        <f>IF(N67,IF(M67,2,1),IF(OR(K67,L67,M67),-2,-1))</f>
        <v/>
      </c>
    </row>
    <row r="68">
      <c r="A68" s="26" t="n">
        <v>5</v>
      </c>
      <c r="B68" s="26" t="n">
        <v>2</v>
      </c>
      <c r="C68" s="26" t="inlineStr">
        <is>
          <t>E</t>
        </is>
      </c>
      <c r="D68" s="25" t="inlineStr">
        <is>
          <t>Germania</t>
        </is>
      </c>
      <c r="E68" s="25" t="inlineStr">
        <is>
          <t>Ecuador</t>
        </is>
      </c>
      <c r="F68" s="29" t="n">
        <v>1.65</v>
      </c>
      <c r="G68" s="26">
        <f>IFERROR(INDEX(Classifiche!$L$4:$L$51,MATCH(D68,Classifiche!$B$4:$B$51,0)),"")</f>
        <v/>
      </c>
      <c r="H68" s="26">
        <f>IFERROR(INDEX(Classifiche!$L$4:$L$51,MATCH(E68,Classifiche!$B$4:$B$51,0)),"")</f>
        <v/>
      </c>
      <c r="I68" s="26">
        <f>IFERROR(INDEX(Classifiche!$M$4:$M$51,MATCH(D68,Classifiche!$B$4:$B$51,0)),FALSE)</f>
        <v/>
      </c>
      <c r="J68" s="26">
        <f>IFERROR(INDEX(Classifiche!$M$4:$M$51,MATCH(E68,Classifiche!$B$4:$B$51,0)),FALSE)</f>
        <v/>
      </c>
      <c r="K68" s="26">
        <f>IFERROR(INDEX(Classifiche!$O$4:$O$51,MATCH(D68,Classifiche!$B$4:$B$51,0)),FALSE)</f>
        <v/>
      </c>
      <c r="L68" s="26">
        <f>IFERROR(INDEX(Classifiche!$O$4:$O$51,MATCH(E68,Classifiche!$B$4:$B$51,0)),FALSE)</f>
        <v/>
      </c>
      <c r="M68" s="26">
        <f>IFERROR(INDEX(Classifiche!$V$4:$V$15,MATCH(C68,Classifiche!$U$4:$U$15,0)),FALSE)</f>
        <v/>
      </c>
      <c r="N68" s="26">
        <f>AND(I68,J68)</f>
        <v/>
      </c>
      <c r="O68" s="25">
        <f>IF(N68,IF(M68,"VINTA (def.)","In vincita"),IF(OR(K68,L68,M68),"PERSA (def.)","In perdita"))</f>
        <v/>
      </c>
      <c r="P68" s="26">
        <f>IF(OR(AND(N68,M68),AND(NOT(N68),OR(K68,L68,M68))),"SI","NO")</f>
        <v/>
      </c>
      <c r="Q68">
        <f>IF(N68,1,0)</f>
        <v/>
      </c>
      <c r="R68">
        <f>IF(OR(K68,L68,AND(M68,NOT(N68))),1,0)</f>
        <v/>
      </c>
      <c r="S68">
        <f>IF(N68,IF(M68,2,1),IF(OR(K68,L68,M68),-2,-1))</f>
        <v/>
      </c>
    </row>
    <row r="69">
      <c r="A69" s="26" t="n">
        <v>5</v>
      </c>
      <c r="B69" s="26" t="n">
        <v>3</v>
      </c>
      <c r="C69" s="26" t="inlineStr">
        <is>
          <t>F</t>
        </is>
      </c>
      <c r="D69" s="25" t="inlineStr">
        <is>
          <t>Olanda</t>
        </is>
      </c>
      <c r="E69" s="25" t="inlineStr">
        <is>
          <t>Giappone</t>
        </is>
      </c>
      <c r="F69" s="29" t="n">
        <v>2.25</v>
      </c>
      <c r="G69" s="26">
        <f>IFERROR(INDEX(Classifiche!$L$4:$L$51,MATCH(D69,Classifiche!$B$4:$B$51,0)),"")</f>
        <v/>
      </c>
      <c r="H69" s="26">
        <f>IFERROR(INDEX(Classifiche!$L$4:$L$51,MATCH(E69,Classifiche!$B$4:$B$51,0)),"")</f>
        <v/>
      </c>
      <c r="I69" s="26">
        <f>IFERROR(INDEX(Classifiche!$M$4:$M$51,MATCH(D69,Classifiche!$B$4:$B$51,0)),FALSE)</f>
        <v/>
      </c>
      <c r="J69" s="26">
        <f>IFERROR(INDEX(Classifiche!$M$4:$M$51,MATCH(E69,Classifiche!$B$4:$B$51,0)),FALSE)</f>
        <v/>
      </c>
      <c r="K69" s="26">
        <f>IFERROR(INDEX(Classifiche!$O$4:$O$51,MATCH(D69,Classifiche!$B$4:$B$51,0)),FALSE)</f>
        <v/>
      </c>
      <c r="L69" s="26">
        <f>IFERROR(INDEX(Classifiche!$O$4:$O$51,MATCH(E69,Classifiche!$B$4:$B$51,0)),FALSE)</f>
        <v/>
      </c>
      <c r="M69" s="26">
        <f>IFERROR(INDEX(Classifiche!$V$4:$V$15,MATCH(C69,Classifiche!$U$4:$U$15,0)),FALSE)</f>
        <v/>
      </c>
      <c r="N69" s="26">
        <f>AND(I69,J69)</f>
        <v/>
      </c>
      <c r="O69" s="25">
        <f>IF(N69,IF(M69,"VINTA (def.)","In vincita"),IF(OR(K69,L69,M69),"PERSA (def.)","In perdita"))</f>
        <v/>
      </c>
      <c r="P69" s="26">
        <f>IF(OR(AND(N69,M69),AND(NOT(N69),OR(K69,L69,M69))),"SI","NO")</f>
        <v/>
      </c>
      <c r="Q69">
        <f>IF(N69,1,0)</f>
        <v/>
      </c>
      <c r="R69">
        <f>IF(OR(K69,L69,AND(M69,NOT(N69))),1,0)</f>
        <v/>
      </c>
      <c r="S69">
        <f>IF(N69,IF(M69,2,1),IF(OR(K69,L69,M69),-2,-1))</f>
        <v/>
      </c>
    </row>
    <row r="70">
      <c r="A70" s="26" t="n">
        <v>5</v>
      </c>
      <c r="B70" s="26" t="n">
        <v>4</v>
      </c>
      <c r="C70" s="26" t="inlineStr">
        <is>
          <t>F</t>
        </is>
      </c>
      <c r="D70" s="25" t="inlineStr">
        <is>
          <t>Olanda</t>
        </is>
      </c>
      <c r="E70" s="25" t="inlineStr">
        <is>
          <t>Svezia</t>
        </is>
      </c>
      <c r="F70" s="29" t="n">
        <v>2.75</v>
      </c>
      <c r="G70" s="26">
        <f>IFERROR(INDEX(Classifiche!$L$4:$L$51,MATCH(D70,Classifiche!$B$4:$B$51,0)),"")</f>
        <v/>
      </c>
      <c r="H70" s="26">
        <f>IFERROR(INDEX(Classifiche!$L$4:$L$51,MATCH(E70,Classifiche!$B$4:$B$51,0)),"")</f>
        <v/>
      </c>
      <c r="I70" s="26">
        <f>IFERROR(INDEX(Classifiche!$M$4:$M$51,MATCH(D70,Classifiche!$B$4:$B$51,0)),FALSE)</f>
        <v/>
      </c>
      <c r="J70" s="26">
        <f>IFERROR(INDEX(Classifiche!$M$4:$M$51,MATCH(E70,Classifiche!$B$4:$B$51,0)),FALSE)</f>
        <v/>
      </c>
      <c r="K70" s="26">
        <f>IFERROR(INDEX(Classifiche!$O$4:$O$51,MATCH(D70,Classifiche!$B$4:$B$51,0)),FALSE)</f>
        <v/>
      </c>
      <c r="L70" s="26">
        <f>IFERROR(INDEX(Classifiche!$O$4:$O$51,MATCH(E70,Classifiche!$B$4:$B$51,0)),FALSE)</f>
        <v/>
      </c>
      <c r="M70" s="26">
        <f>IFERROR(INDEX(Classifiche!$V$4:$V$15,MATCH(C70,Classifiche!$U$4:$U$15,0)),FALSE)</f>
        <v/>
      </c>
      <c r="N70" s="26">
        <f>AND(I70,J70)</f>
        <v/>
      </c>
      <c r="O70" s="25">
        <f>IF(N70,IF(M70,"VINTA (def.)","In vincita"),IF(OR(K70,L70,M70),"PERSA (def.)","In perdita"))</f>
        <v/>
      </c>
      <c r="P70" s="26">
        <f>IF(OR(AND(N70,M70),AND(NOT(N70),OR(K70,L70,M70))),"SI","NO")</f>
        <v/>
      </c>
      <c r="Q70">
        <f>IF(N70,1,0)</f>
        <v/>
      </c>
      <c r="R70">
        <f>IF(OR(K70,L70,AND(M70,NOT(N70))),1,0)</f>
        <v/>
      </c>
      <c r="S70">
        <f>IF(N70,IF(M70,2,1),IF(OR(K70,L70,M70),-2,-1))</f>
        <v/>
      </c>
    </row>
    <row r="71">
      <c r="A71" s="26" t="n">
        <v>5</v>
      </c>
      <c r="B71" s="26" t="n">
        <v>5</v>
      </c>
      <c r="C71" s="26" t="inlineStr">
        <is>
          <t>F</t>
        </is>
      </c>
      <c r="D71" s="25" t="inlineStr">
        <is>
          <t>Giappone</t>
        </is>
      </c>
      <c r="E71" s="25" t="inlineStr">
        <is>
          <t>Svezia</t>
        </is>
      </c>
      <c r="F71" s="29" t="n">
        <v>5</v>
      </c>
      <c r="G71" s="26">
        <f>IFERROR(INDEX(Classifiche!$L$4:$L$51,MATCH(D71,Classifiche!$B$4:$B$51,0)),"")</f>
        <v/>
      </c>
      <c r="H71" s="26">
        <f>IFERROR(INDEX(Classifiche!$L$4:$L$51,MATCH(E71,Classifiche!$B$4:$B$51,0)),"")</f>
        <v/>
      </c>
      <c r="I71" s="26">
        <f>IFERROR(INDEX(Classifiche!$M$4:$M$51,MATCH(D71,Classifiche!$B$4:$B$51,0)),FALSE)</f>
        <v/>
      </c>
      <c r="J71" s="26">
        <f>IFERROR(INDEX(Classifiche!$M$4:$M$51,MATCH(E71,Classifiche!$B$4:$B$51,0)),FALSE)</f>
        <v/>
      </c>
      <c r="K71" s="26">
        <f>IFERROR(INDEX(Classifiche!$O$4:$O$51,MATCH(D71,Classifiche!$B$4:$B$51,0)),FALSE)</f>
        <v/>
      </c>
      <c r="L71" s="26">
        <f>IFERROR(INDEX(Classifiche!$O$4:$O$51,MATCH(E71,Classifiche!$B$4:$B$51,0)),FALSE)</f>
        <v/>
      </c>
      <c r="M71" s="26">
        <f>IFERROR(INDEX(Classifiche!$V$4:$V$15,MATCH(C71,Classifiche!$U$4:$U$15,0)),FALSE)</f>
        <v/>
      </c>
      <c r="N71" s="26">
        <f>AND(I71,J71)</f>
        <v/>
      </c>
      <c r="O71" s="25">
        <f>IF(N71,IF(M71,"VINTA (def.)","In vincita"),IF(OR(K71,L71,M71),"PERSA (def.)","In perdita"))</f>
        <v/>
      </c>
      <c r="P71" s="26">
        <f>IF(OR(AND(N71,M71),AND(NOT(N71),OR(K71,L71,M71))),"SI","NO")</f>
        <v/>
      </c>
      <c r="Q71">
        <f>IF(N71,1,0)</f>
        <v/>
      </c>
      <c r="R71">
        <f>IF(OR(K71,L71,AND(M71,NOT(N71))),1,0)</f>
        <v/>
      </c>
      <c r="S71">
        <f>IF(N71,IF(M71,2,1),IF(OR(K71,L71,M71),-2,-1))</f>
        <v/>
      </c>
    </row>
    <row r="72">
      <c r="A72" s="26" t="n">
        <v>5</v>
      </c>
      <c r="B72" s="26" t="n">
        <v>6</v>
      </c>
      <c r="C72" s="26" t="inlineStr">
        <is>
          <t>D</t>
        </is>
      </c>
      <c r="D72" s="25" t="inlineStr">
        <is>
          <t>Stati Uniti</t>
        </is>
      </c>
      <c r="E72" s="25" t="inlineStr">
        <is>
          <t>Turchia</t>
        </is>
      </c>
      <c r="F72" s="29" t="n">
        <v>2.25</v>
      </c>
      <c r="G72" s="26">
        <f>IFERROR(INDEX(Classifiche!$L$4:$L$51,MATCH(D72,Classifiche!$B$4:$B$51,0)),"")</f>
        <v/>
      </c>
      <c r="H72" s="26">
        <f>IFERROR(INDEX(Classifiche!$L$4:$L$51,MATCH(E72,Classifiche!$B$4:$B$51,0)),"")</f>
        <v/>
      </c>
      <c r="I72" s="26">
        <f>IFERROR(INDEX(Classifiche!$M$4:$M$51,MATCH(D72,Classifiche!$B$4:$B$51,0)),FALSE)</f>
        <v/>
      </c>
      <c r="J72" s="26">
        <f>IFERROR(INDEX(Classifiche!$M$4:$M$51,MATCH(E72,Classifiche!$B$4:$B$51,0)),FALSE)</f>
        <v/>
      </c>
      <c r="K72" s="26">
        <f>IFERROR(INDEX(Classifiche!$O$4:$O$51,MATCH(D72,Classifiche!$B$4:$B$51,0)),FALSE)</f>
        <v/>
      </c>
      <c r="L72" s="26">
        <f>IFERROR(INDEX(Classifiche!$O$4:$O$51,MATCH(E72,Classifiche!$B$4:$B$51,0)),FALSE)</f>
        <v/>
      </c>
      <c r="M72" s="26">
        <f>IFERROR(INDEX(Classifiche!$V$4:$V$15,MATCH(C72,Classifiche!$U$4:$U$15,0)),FALSE)</f>
        <v/>
      </c>
      <c r="N72" s="26">
        <f>AND(I72,J72)</f>
        <v/>
      </c>
      <c r="O72" s="25">
        <f>IF(N72,IF(M72,"VINTA (def.)","In vincita"),IF(OR(K72,L72,M72),"PERSA (def.)","In perdita"))</f>
        <v/>
      </c>
      <c r="P72" s="26">
        <f>IF(OR(AND(N72,M72),AND(NOT(N72),OR(K72,L72,M72))),"SI","NO")</f>
        <v/>
      </c>
      <c r="Q72">
        <f>IF(N72,1,0)</f>
        <v/>
      </c>
      <c r="R72">
        <f>IF(OR(K72,L72,AND(M72,NOT(N72))),1,0)</f>
        <v/>
      </c>
      <c r="S72">
        <f>IF(N72,IF(M72,2,1),IF(OR(K72,L72,M72),-2,-1))</f>
        <v/>
      </c>
    </row>
    <row r="73">
      <c r="A73" s="26" t="n">
        <v>5</v>
      </c>
      <c r="B73" s="26" t="n">
        <v>7</v>
      </c>
      <c r="C73" s="26" t="inlineStr">
        <is>
          <t>D</t>
        </is>
      </c>
      <c r="D73" s="25" t="inlineStr">
        <is>
          <t>Stati Uniti</t>
        </is>
      </c>
      <c r="E73" s="25" t="inlineStr">
        <is>
          <t>Paraguay</t>
        </is>
      </c>
      <c r="F73" s="29" t="n">
        <v>3.5</v>
      </c>
      <c r="G73" s="26">
        <f>IFERROR(INDEX(Classifiche!$L$4:$L$51,MATCH(D73,Classifiche!$B$4:$B$51,0)),"")</f>
        <v/>
      </c>
      <c r="H73" s="26">
        <f>IFERROR(INDEX(Classifiche!$L$4:$L$51,MATCH(E73,Classifiche!$B$4:$B$51,0)),"")</f>
        <v/>
      </c>
      <c r="I73" s="26">
        <f>IFERROR(INDEX(Classifiche!$M$4:$M$51,MATCH(D73,Classifiche!$B$4:$B$51,0)),FALSE)</f>
        <v/>
      </c>
      <c r="J73" s="26">
        <f>IFERROR(INDEX(Classifiche!$M$4:$M$51,MATCH(E73,Classifiche!$B$4:$B$51,0)),FALSE)</f>
        <v/>
      </c>
      <c r="K73" s="26">
        <f>IFERROR(INDEX(Classifiche!$O$4:$O$51,MATCH(D73,Classifiche!$B$4:$B$51,0)),FALSE)</f>
        <v/>
      </c>
      <c r="L73" s="26">
        <f>IFERROR(INDEX(Classifiche!$O$4:$O$51,MATCH(E73,Classifiche!$B$4:$B$51,0)),FALSE)</f>
        <v/>
      </c>
      <c r="M73" s="26">
        <f>IFERROR(INDEX(Classifiche!$V$4:$V$15,MATCH(C73,Classifiche!$U$4:$U$15,0)),FALSE)</f>
        <v/>
      </c>
      <c r="N73" s="26">
        <f>AND(I73,J73)</f>
        <v/>
      </c>
      <c r="O73" s="25">
        <f>IF(N73,IF(M73,"VINTA (def.)","In vincita"),IF(OR(K73,L73,M73),"PERSA (def.)","In perdita"))</f>
        <v/>
      </c>
      <c r="P73" s="26">
        <f>IF(OR(AND(N73,M73),AND(NOT(N73),OR(K73,L73,M73))),"SI","NO")</f>
        <v/>
      </c>
      <c r="Q73">
        <f>IF(N73,1,0)</f>
        <v/>
      </c>
      <c r="R73">
        <f>IF(OR(K73,L73,AND(M73,NOT(N73))),1,0)</f>
        <v/>
      </c>
      <c r="S73">
        <f>IF(N73,IF(M73,2,1),IF(OR(K73,L73,M73),-2,-1))</f>
        <v/>
      </c>
    </row>
    <row r="74">
      <c r="A74" s="26" t="n">
        <v>5</v>
      </c>
      <c r="B74" s="26" t="n">
        <v>8</v>
      </c>
      <c r="C74" s="26" t="inlineStr">
        <is>
          <t>D</t>
        </is>
      </c>
      <c r="D74" s="25" t="inlineStr">
        <is>
          <t>Turchia</t>
        </is>
      </c>
      <c r="E74" s="25" t="inlineStr">
        <is>
          <t>Paraguay</t>
        </is>
      </c>
      <c r="F74" s="29" t="n">
        <v>4.5</v>
      </c>
      <c r="G74" s="26">
        <f>IFERROR(INDEX(Classifiche!$L$4:$L$51,MATCH(D74,Classifiche!$B$4:$B$51,0)),"")</f>
        <v/>
      </c>
      <c r="H74" s="26">
        <f>IFERROR(INDEX(Classifiche!$L$4:$L$51,MATCH(E74,Classifiche!$B$4:$B$51,0)),"")</f>
        <v/>
      </c>
      <c r="I74" s="26">
        <f>IFERROR(INDEX(Classifiche!$M$4:$M$51,MATCH(D74,Classifiche!$B$4:$B$51,0)),FALSE)</f>
        <v/>
      </c>
      <c r="J74" s="26">
        <f>IFERROR(INDEX(Classifiche!$M$4:$M$51,MATCH(E74,Classifiche!$B$4:$B$51,0)),FALSE)</f>
        <v/>
      </c>
      <c r="K74" s="26">
        <f>IFERROR(INDEX(Classifiche!$O$4:$O$51,MATCH(D74,Classifiche!$B$4:$B$51,0)),FALSE)</f>
        <v/>
      </c>
      <c r="L74" s="26">
        <f>IFERROR(INDEX(Classifiche!$O$4:$O$51,MATCH(E74,Classifiche!$B$4:$B$51,0)),FALSE)</f>
        <v/>
      </c>
      <c r="M74" s="26">
        <f>IFERROR(INDEX(Classifiche!$V$4:$V$15,MATCH(C74,Classifiche!$U$4:$U$15,0)),FALSE)</f>
        <v/>
      </c>
      <c r="N74" s="26">
        <f>AND(I74,J74)</f>
        <v/>
      </c>
      <c r="O74" s="25">
        <f>IF(N74,IF(M74,"VINTA (def.)","In vincita"),IF(OR(K74,L74,M74),"PERSA (def.)","In perdita"))</f>
        <v/>
      </c>
      <c r="P74" s="26">
        <f>IF(OR(AND(N74,M74),AND(NOT(N74),OR(K74,L74,M74))),"SI","NO")</f>
        <v/>
      </c>
      <c r="Q74">
        <f>IF(N74,1,0)</f>
        <v/>
      </c>
      <c r="R74">
        <f>IF(OR(K74,L74,AND(M74,NOT(N74))),1,0)</f>
        <v/>
      </c>
      <c r="S74">
        <f>IF(N74,IF(M74,2,1),IF(OR(K74,L74,M74),-2,-1))</f>
        <v/>
      </c>
    </row>
    <row r="75">
      <c r="A75" s="26" t="n">
        <v>5</v>
      </c>
      <c r="B75" s="26" t="n">
        <v>9</v>
      </c>
      <c r="C75" s="26" t="inlineStr">
        <is>
          <t>I</t>
        </is>
      </c>
      <c r="D75" s="25" t="inlineStr">
        <is>
          <t>Francia</t>
        </is>
      </c>
      <c r="E75" s="25" t="inlineStr">
        <is>
          <t>Norvegia</t>
        </is>
      </c>
      <c r="F75" s="29" t="n">
        <v>1.55</v>
      </c>
      <c r="G75" s="26">
        <f>IFERROR(INDEX(Classifiche!$L$4:$L$51,MATCH(D75,Classifiche!$B$4:$B$51,0)),"")</f>
        <v/>
      </c>
      <c r="H75" s="26">
        <f>IFERROR(INDEX(Classifiche!$L$4:$L$51,MATCH(E75,Classifiche!$B$4:$B$51,0)),"")</f>
        <v/>
      </c>
      <c r="I75" s="26">
        <f>IFERROR(INDEX(Classifiche!$M$4:$M$51,MATCH(D75,Classifiche!$B$4:$B$51,0)),FALSE)</f>
        <v/>
      </c>
      <c r="J75" s="26">
        <f>IFERROR(INDEX(Classifiche!$M$4:$M$51,MATCH(E75,Classifiche!$B$4:$B$51,0)),FALSE)</f>
        <v/>
      </c>
      <c r="K75" s="26">
        <f>IFERROR(INDEX(Classifiche!$O$4:$O$51,MATCH(D75,Classifiche!$B$4:$B$51,0)),FALSE)</f>
        <v/>
      </c>
      <c r="L75" s="26">
        <f>IFERROR(INDEX(Classifiche!$O$4:$O$51,MATCH(E75,Classifiche!$B$4:$B$51,0)),FALSE)</f>
        <v/>
      </c>
      <c r="M75" s="26">
        <f>IFERROR(INDEX(Classifiche!$V$4:$V$15,MATCH(C75,Classifiche!$U$4:$U$15,0)),FALSE)</f>
        <v/>
      </c>
      <c r="N75" s="26">
        <f>AND(I75,J75)</f>
        <v/>
      </c>
      <c r="O75" s="25">
        <f>IF(N75,IF(M75,"VINTA (def.)","In vincita"),IF(OR(K75,L75,M75),"PERSA (def.)","In perdita"))</f>
        <v/>
      </c>
      <c r="P75" s="26">
        <f>IF(OR(AND(N75,M75),AND(NOT(N75),OR(K75,L75,M75))),"SI","NO")</f>
        <v/>
      </c>
      <c r="Q75">
        <f>IF(N75,1,0)</f>
        <v/>
      </c>
      <c r="R75">
        <f>IF(OR(K75,L75,AND(M75,NOT(N75))),1,0)</f>
        <v/>
      </c>
      <c r="S75">
        <f>IF(N75,IF(M75,2,1),IF(OR(K75,L75,M75),-2,-1))</f>
        <v/>
      </c>
    </row>
    <row r="76">
      <c r="A76" s="26" t="n">
        <v>5</v>
      </c>
      <c r="B76" s="26" t="n">
        <v>10</v>
      </c>
      <c r="C76" s="26" t="inlineStr">
        <is>
          <t>H</t>
        </is>
      </c>
      <c r="D76" s="25" t="inlineStr">
        <is>
          <t>Spagna</t>
        </is>
      </c>
      <c r="E76" s="25" t="inlineStr">
        <is>
          <t>Uruguay</t>
        </is>
      </c>
      <c r="F76" s="29" t="n">
        <v>1.35</v>
      </c>
      <c r="G76" s="26">
        <f>IFERROR(INDEX(Classifiche!$L$4:$L$51,MATCH(D76,Classifiche!$B$4:$B$51,0)),"")</f>
        <v/>
      </c>
      <c r="H76" s="26">
        <f>IFERROR(INDEX(Classifiche!$L$4:$L$51,MATCH(E76,Classifiche!$B$4:$B$51,0)),"")</f>
        <v/>
      </c>
      <c r="I76" s="26">
        <f>IFERROR(INDEX(Classifiche!$M$4:$M$51,MATCH(D76,Classifiche!$B$4:$B$51,0)),FALSE)</f>
        <v/>
      </c>
      <c r="J76" s="26">
        <f>IFERROR(INDEX(Classifiche!$M$4:$M$51,MATCH(E76,Classifiche!$B$4:$B$51,0)),FALSE)</f>
        <v/>
      </c>
      <c r="K76" s="26">
        <f>IFERROR(INDEX(Classifiche!$O$4:$O$51,MATCH(D76,Classifiche!$B$4:$B$51,0)),FALSE)</f>
        <v/>
      </c>
      <c r="L76" s="26">
        <f>IFERROR(INDEX(Classifiche!$O$4:$O$51,MATCH(E76,Classifiche!$B$4:$B$51,0)),FALSE)</f>
        <v/>
      </c>
      <c r="M76" s="26">
        <f>IFERROR(INDEX(Classifiche!$V$4:$V$15,MATCH(C76,Classifiche!$U$4:$U$15,0)),FALSE)</f>
        <v/>
      </c>
      <c r="N76" s="26">
        <f>AND(I76,J76)</f>
        <v/>
      </c>
      <c r="O76" s="25">
        <f>IF(N76,IF(M76,"VINTA (def.)","In vincita"),IF(OR(K76,L76,M76),"PERSA (def.)","In perdita"))</f>
        <v/>
      </c>
      <c r="P76" s="26">
        <f>IF(OR(AND(N76,M76),AND(NOT(N76),OR(K76,L76,M76))),"SI","NO")</f>
        <v/>
      </c>
      <c r="Q76">
        <f>IF(N76,1,0)</f>
        <v/>
      </c>
      <c r="R76">
        <f>IF(OR(K76,L76,AND(M76,NOT(N76))),1,0)</f>
        <v/>
      </c>
      <c r="S76">
        <f>IF(N76,IF(M76,2,1),IF(OR(K76,L76,M76),-2,-1))</f>
        <v/>
      </c>
    </row>
    <row r="77">
      <c r="A77" s="26" t="n">
        <v>5</v>
      </c>
      <c r="B77" s="26" t="n">
        <v>11</v>
      </c>
      <c r="C77" s="26" t="inlineStr">
        <is>
          <t>G</t>
        </is>
      </c>
      <c r="D77" s="25" t="inlineStr">
        <is>
          <t>Belgio</t>
        </is>
      </c>
      <c r="E77" s="25" t="inlineStr">
        <is>
          <t>Egitto</t>
        </is>
      </c>
      <c r="F77" s="29" t="n">
        <v>1.85</v>
      </c>
      <c r="G77" s="26">
        <f>IFERROR(INDEX(Classifiche!$L$4:$L$51,MATCH(D77,Classifiche!$B$4:$B$51,0)),"")</f>
        <v/>
      </c>
      <c r="H77" s="26">
        <f>IFERROR(INDEX(Classifiche!$L$4:$L$51,MATCH(E77,Classifiche!$B$4:$B$51,0)),"")</f>
        <v/>
      </c>
      <c r="I77" s="26">
        <f>IFERROR(INDEX(Classifiche!$M$4:$M$51,MATCH(D77,Classifiche!$B$4:$B$51,0)),FALSE)</f>
        <v/>
      </c>
      <c r="J77" s="26">
        <f>IFERROR(INDEX(Classifiche!$M$4:$M$51,MATCH(E77,Classifiche!$B$4:$B$51,0)),FALSE)</f>
        <v/>
      </c>
      <c r="K77" s="26">
        <f>IFERROR(INDEX(Classifiche!$O$4:$O$51,MATCH(D77,Classifiche!$B$4:$B$51,0)),FALSE)</f>
        <v/>
      </c>
      <c r="L77" s="26">
        <f>IFERROR(INDEX(Classifiche!$O$4:$O$51,MATCH(E77,Classifiche!$B$4:$B$51,0)),FALSE)</f>
        <v/>
      </c>
      <c r="M77" s="26">
        <f>IFERROR(INDEX(Classifiche!$V$4:$V$15,MATCH(C77,Classifiche!$U$4:$U$15,0)),FALSE)</f>
        <v/>
      </c>
      <c r="N77" s="26">
        <f>AND(I77,J77)</f>
        <v/>
      </c>
      <c r="O77" s="25">
        <f>IF(N77,IF(M77,"VINTA (def.)","In vincita"),IF(OR(K77,L77,M77),"PERSA (def.)","In perdita"))</f>
        <v/>
      </c>
      <c r="P77" s="26">
        <f>IF(OR(AND(N77,M77),AND(NOT(N77),OR(K77,L77,M77))),"SI","NO")</f>
        <v/>
      </c>
      <c r="Q77">
        <f>IF(N77,1,0)</f>
        <v/>
      </c>
      <c r="R77">
        <f>IF(OR(K77,L77,AND(M77,NOT(N77))),1,0)</f>
        <v/>
      </c>
      <c r="S77">
        <f>IF(N77,IF(M77,2,1),IF(OR(K77,L77,M77),-2,-1))</f>
        <v/>
      </c>
    </row>
    <row r="78">
      <c r="A78" s="26" t="n">
        <v>5</v>
      </c>
      <c r="B78" s="26" t="n">
        <v>12</v>
      </c>
      <c r="C78" s="26" t="inlineStr">
        <is>
          <t>G</t>
        </is>
      </c>
      <c r="D78" s="25" t="inlineStr">
        <is>
          <t>Belgio</t>
        </is>
      </c>
      <c r="E78" s="25" t="inlineStr">
        <is>
          <t>Iran</t>
        </is>
      </c>
      <c r="F78" s="29" t="n">
        <v>2.5</v>
      </c>
      <c r="G78" s="26">
        <f>IFERROR(INDEX(Classifiche!$L$4:$L$51,MATCH(D78,Classifiche!$B$4:$B$51,0)),"")</f>
        <v/>
      </c>
      <c r="H78" s="26">
        <f>IFERROR(INDEX(Classifiche!$L$4:$L$51,MATCH(E78,Classifiche!$B$4:$B$51,0)),"")</f>
        <v/>
      </c>
      <c r="I78" s="26">
        <f>IFERROR(INDEX(Classifiche!$M$4:$M$51,MATCH(D78,Classifiche!$B$4:$B$51,0)),FALSE)</f>
        <v/>
      </c>
      <c r="J78" s="26">
        <f>IFERROR(INDEX(Classifiche!$M$4:$M$51,MATCH(E78,Classifiche!$B$4:$B$51,0)),FALSE)</f>
        <v/>
      </c>
      <c r="K78" s="26">
        <f>IFERROR(INDEX(Classifiche!$O$4:$O$51,MATCH(D78,Classifiche!$B$4:$B$51,0)),FALSE)</f>
        <v/>
      </c>
      <c r="L78" s="26">
        <f>IFERROR(INDEX(Classifiche!$O$4:$O$51,MATCH(E78,Classifiche!$B$4:$B$51,0)),FALSE)</f>
        <v/>
      </c>
      <c r="M78" s="26">
        <f>IFERROR(INDEX(Classifiche!$V$4:$V$15,MATCH(C78,Classifiche!$U$4:$U$15,0)),FALSE)</f>
        <v/>
      </c>
      <c r="N78" s="26">
        <f>AND(I78,J78)</f>
        <v/>
      </c>
      <c r="O78" s="25">
        <f>IF(N78,IF(M78,"VINTA (def.)","In vincita"),IF(OR(K78,L78,M78),"PERSA (def.)","In perdita"))</f>
        <v/>
      </c>
      <c r="P78" s="26">
        <f>IF(OR(AND(N78,M78),AND(NOT(N78),OR(K78,L78,M78))),"SI","NO")</f>
        <v/>
      </c>
      <c r="Q78">
        <f>IF(N78,1,0)</f>
        <v/>
      </c>
      <c r="R78">
        <f>IF(OR(K78,L78,AND(M78,NOT(N78))),1,0)</f>
        <v/>
      </c>
      <c r="S78">
        <f>IF(N78,IF(M78,2,1),IF(OR(K78,L78,M78),-2,-1))</f>
        <v/>
      </c>
    </row>
    <row r="79">
      <c r="A79" s="26" t="n">
        <v>5</v>
      </c>
      <c r="B79" s="26" t="n">
        <v>13</v>
      </c>
      <c r="C79" s="26" t="inlineStr">
        <is>
          <t>G</t>
        </is>
      </c>
      <c r="D79" s="25" t="inlineStr">
        <is>
          <t>Belgio</t>
        </is>
      </c>
      <c r="E79" s="25" t="inlineStr">
        <is>
          <t>Nuova Zelanda</t>
        </is>
      </c>
      <c r="F79" s="29" t="n">
        <v>7.5</v>
      </c>
      <c r="G79" s="26">
        <f>IFERROR(INDEX(Classifiche!$L$4:$L$51,MATCH(D79,Classifiche!$B$4:$B$51,0)),"")</f>
        <v/>
      </c>
      <c r="H79" s="26">
        <f>IFERROR(INDEX(Classifiche!$L$4:$L$51,MATCH(E79,Classifiche!$B$4:$B$51,0)),"")</f>
        <v/>
      </c>
      <c r="I79" s="26">
        <f>IFERROR(INDEX(Classifiche!$M$4:$M$51,MATCH(D79,Classifiche!$B$4:$B$51,0)),FALSE)</f>
        <v/>
      </c>
      <c r="J79" s="26">
        <f>IFERROR(INDEX(Classifiche!$M$4:$M$51,MATCH(E79,Classifiche!$B$4:$B$51,0)),FALSE)</f>
        <v/>
      </c>
      <c r="K79" s="26">
        <f>IFERROR(INDEX(Classifiche!$O$4:$O$51,MATCH(D79,Classifiche!$B$4:$B$51,0)),FALSE)</f>
        <v/>
      </c>
      <c r="L79" s="26">
        <f>IFERROR(INDEX(Classifiche!$O$4:$O$51,MATCH(E79,Classifiche!$B$4:$B$51,0)),FALSE)</f>
        <v/>
      </c>
      <c r="M79" s="26">
        <f>IFERROR(INDEX(Classifiche!$V$4:$V$15,MATCH(C79,Classifiche!$U$4:$U$15,0)),FALSE)</f>
        <v/>
      </c>
      <c r="N79" s="26">
        <f>AND(I79,J79)</f>
        <v/>
      </c>
      <c r="O79" s="25">
        <f>IF(N79,IF(M79,"VINTA (def.)","In vincita"),IF(OR(K79,L79,M79),"PERSA (def.)","In perdita"))</f>
        <v/>
      </c>
      <c r="P79" s="26">
        <f>IF(OR(AND(N79,M79),AND(NOT(N79),OR(K79,L79,M79))),"SI","NO")</f>
        <v/>
      </c>
      <c r="Q79">
        <f>IF(N79,1,0)</f>
        <v/>
      </c>
      <c r="R79">
        <f>IF(OR(K79,L79,AND(M79,NOT(N79))),1,0)</f>
        <v/>
      </c>
      <c r="S79">
        <f>IF(N79,IF(M79,2,1),IF(OR(K79,L79,M79),-2,-1))</f>
        <v/>
      </c>
    </row>
    <row r="80">
      <c r="A80" s="26" t="n">
        <v>5</v>
      </c>
      <c r="B80" s="26" t="n">
        <v>14</v>
      </c>
      <c r="C80" s="26" t="inlineStr">
        <is>
          <t>L</t>
        </is>
      </c>
      <c r="D80" s="25" t="inlineStr">
        <is>
          <t>Inghilterra</t>
        </is>
      </c>
      <c r="E80" s="25" t="inlineStr">
        <is>
          <t>Croazia</t>
        </is>
      </c>
      <c r="F80" s="29" t="n">
        <v>1.35</v>
      </c>
      <c r="G80" s="26">
        <f>IFERROR(INDEX(Classifiche!$L$4:$L$51,MATCH(D80,Classifiche!$B$4:$B$51,0)),"")</f>
        <v/>
      </c>
      <c r="H80" s="26">
        <f>IFERROR(INDEX(Classifiche!$L$4:$L$51,MATCH(E80,Classifiche!$B$4:$B$51,0)),"")</f>
        <v/>
      </c>
      <c r="I80" s="26">
        <f>IFERROR(INDEX(Classifiche!$M$4:$M$51,MATCH(D80,Classifiche!$B$4:$B$51,0)),FALSE)</f>
        <v/>
      </c>
      <c r="J80" s="26">
        <f>IFERROR(INDEX(Classifiche!$M$4:$M$51,MATCH(E80,Classifiche!$B$4:$B$51,0)),FALSE)</f>
        <v/>
      </c>
      <c r="K80" s="26">
        <f>IFERROR(INDEX(Classifiche!$O$4:$O$51,MATCH(D80,Classifiche!$B$4:$B$51,0)),FALSE)</f>
        <v/>
      </c>
      <c r="L80" s="26">
        <f>IFERROR(INDEX(Classifiche!$O$4:$O$51,MATCH(E80,Classifiche!$B$4:$B$51,0)),FALSE)</f>
        <v/>
      </c>
      <c r="M80" s="26">
        <f>IFERROR(INDEX(Classifiche!$V$4:$V$15,MATCH(C80,Classifiche!$U$4:$U$15,0)),FALSE)</f>
        <v/>
      </c>
      <c r="N80" s="26">
        <f>AND(I80,J80)</f>
        <v/>
      </c>
      <c r="O80" s="25">
        <f>IF(N80,IF(M80,"VINTA (def.)","In vincita"),IF(OR(K80,L80,M80),"PERSA (def.)","In perdita"))</f>
        <v/>
      </c>
      <c r="P80" s="26">
        <f>IF(OR(AND(N80,M80),AND(NOT(N80),OR(K80,L80,M80))),"SI","NO")</f>
        <v/>
      </c>
      <c r="Q80">
        <f>IF(N80,1,0)</f>
        <v/>
      </c>
      <c r="R80">
        <f>IF(OR(K80,L80,AND(M80,NOT(N80))),1,0)</f>
        <v/>
      </c>
      <c r="S80">
        <f>IF(N80,IF(M80,2,1),IF(OR(K80,L80,M80),-2,-1))</f>
        <v/>
      </c>
    </row>
    <row r="81">
      <c r="A81" s="26" t="n">
        <v>5</v>
      </c>
      <c r="B81" s="26" t="n">
        <v>15</v>
      </c>
      <c r="C81" s="26" t="inlineStr">
        <is>
          <t>K</t>
        </is>
      </c>
      <c r="D81" s="25" t="inlineStr">
        <is>
          <t>Portogallo</t>
        </is>
      </c>
      <c r="E81" s="25" t="inlineStr">
        <is>
          <t>Colombia</t>
        </is>
      </c>
      <c r="F81" s="29" t="n">
        <v>1.25</v>
      </c>
      <c r="G81" s="26">
        <f>IFERROR(INDEX(Classifiche!$L$4:$L$51,MATCH(D81,Classifiche!$B$4:$B$51,0)),"")</f>
        <v/>
      </c>
      <c r="H81" s="26">
        <f>IFERROR(INDEX(Classifiche!$L$4:$L$51,MATCH(E81,Classifiche!$B$4:$B$51,0)),"")</f>
        <v/>
      </c>
      <c r="I81" s="26">
        <f>IFERROR(INDEX(Classifiche!$M$4:$M$51,MATCH(D81,Classifiche!$B$4:$B$51,0)),FALSE)</f>
        <v/>
      </c>
      <c r="J81" s="26">
        <f>IFERROR(INDEX(Classifiche!$M$4:$M$51,MATCH(E81,Classifiche!$B$4:$B$51,0)),FALSE)</f>
        <v/>
      </c>
      <c r="K81" s="26">
        <f>IFERROR(INDEX(Classifiche!$O$4:$O$51,MATCH(D81,Classifiche!$B$4:$B$51,0)),FALSE)</f>
        <v/>
      </c>
      <c r="L81" s="26">
        <f>IFERROR(INDEX(Classifiche!$O$4:$O$51,MATCH(E81,Classifiche!$B$4:$B$51,0)),FALSE)</f>
        <v/>
      </c>
      <c r="M81" s="26">
        <f>IFERROR(INDEX(Classifiche!$V$4:$V$15,MATCH(C81,Classifiche!$U$4:$U$15,0)),FALSE)</f>
        <v/>
      </c>
      <c r="N81" s="26">
        <f>AND(I81,J81)</f>
        <v/>
      </c>
      <c r="O81" s="25">
        <f>IF(N81,IF(M81,"VINTA (def.)","In vincita"),IF(OR(K81,L81,M81),"PERSA (def.)","In perdita"))</f>
        <v/>
      </c>
      <c r="P81" s="26">
        <f>IF(OR(AND(N81,M81),AND(NOT(N81),OR(K81,L81,M81))),"SI","NO")</f>
        <v/>
      </c>
      <c r="Q81">
        <f>IF(N81,1,0)</f>
        <v/>
      </c>
      <c r="R81">
        <f>IF(OR(K81,L81,AND(M81,NOT(N81))),1,0)</f>
        <v/>
      </c>
      <c r="S81">
        <f>IF(N81,IF(M81,2,1),IF(OR(K81,L81,M81),-2,-1))</f>
        <v/>
      </c>
    </row>
    <row r="82">
      <c r="A82" s="26" t="n">
        <v>5</v>
      </c>
      <c r="B82" s="26" t="n">
        <v>16</v>
      </c>
      <c r="C82" s="26" t="inlineStr">
        <is>
          <t>K</t>
        </is>
      </c>
      <c r="D82" s="25" t="inlineStr">
        <is>
          <t>Portogallo</t>
        </is>
      </c>
      <c r="E82" s="25" t="inlineStr">
        <is>
          <t>Rd Congo</t>
        </is>
      </c>
      <c r="F82" s="29" t="n">
        <v>4.5</v>
      </c>
      <c r="G82" s="26">
        <f>IFERROR(INDEX(Classifiche!$L$4:$L$51,MATCH(D82,Classifiche!$B$4:$B$51,0)),"")</f>
        <v/>
      </c>
      <c r="H82" s="26">
        <f>IFERROR(INDEX(Classifiche!$L$4:$L$51,MATCH(E82,Classifiche!$B$4:$B$51,0)),"")</f>
        <v/>
      </c>
      <c r="I82" s="26">
        <f>IFERROR(INDEX(Classifiche!$M$4:$M$51,MATCH(D82,Classifiche!$B$4:$B$51,0)),FALSE)</f>
        <v/>
      </c>
      <c r="J82" s="26">
        <f>IFERROR(INDEX(Classifiche!$M$4:$M$51,MATCH(E82,Classifiche!$B$4:$B$51,0)),FALSE)</f>
        <v/>
      </c>
      <c r="K82" s="26">
        <f>IFERROR(INDEX(Classifiche!$O$4:$O$51,MATCH(D82,Classifiche!$B$4:$B$51,0)),FALSE)</f>
        <v/>
      </c>
      <c r="L82" s="26">
        <f>IFERROR(INDEX(Classifiche!$O$4:$O$51,MATCH(E82,Classifiche!$B$4:$B$51,0)),FALSE)</f>
        <v/>
      </c>
      <c r="M82" s="26">
        <f>IFERROR(INDEX(Classifiche!$V$4:$V$15,MATCH(C82,Classifiche!$U$4:$U$15,0)),FALSE)</f>
        <v/>
      </c>
      <c r="N82" s="26">
        <f>AND(I82,J82)</f>
        <v/>
      </c>
      <c r="O82" s="25">
        <f>IF(N82,IF(M82,"VINTA (def.)","In vincita"),IF(OR(K82,L82,M82),"PERSA (def.)","In perdita"))</f>
        <v/>
      </c>
      <c r="P82" s="26">
        <f>IF(OR(AND(N82,M82),AND(NOT(N82),OR(K82,L82,M82))),"SI","NO")</f>
        <v/>
      </c>
      <c r="Q82">
        <f>IF(N82,1,0)</f>
        <v/>
      </c>
      <c r="R82">
        <f>IF(OR(K82,L82,AND(M82,NOT(N82))),1,0)</f>
        <v/>
      </c>
      <c r="S82">
        <f>IF(N82,IF(M82,2,1),IF(OR(K82,L82,M82),-2,-1))</f>
        <v/>
      </c>
    </row>
    <row r="83">
      <c r="A83" s="26" t="n">
        <v>5</v>
      </c>
      <c r="B83" s="26" t="n">
        <v>17</v>
      </c>
      <c r="C83" s="26" t="inlineStr">
        <is>
          <t>J</t>
        </is>
      </c>
      <c r="D83" s="25" t="inlineStr">
        <is>
          <t>Argentina</t>
        </is>
      </c>
      <c r="E83" s="25" t="inlineStr">
        <is>
          <t>Algeria</t>
        </is>
      </c>
      <c r="F83" s="29" t="n">
        <v>2.25</v>
      </c>
      <c r="G83" s="26">
        <f>IFERROR(INDEX(Classifiche!$L$4:$L$51,MATCH(D83,Classifiche!$B$4:$B$51,0)),"")</f>
        <v/>
      </c>
      <c r="H83" s="26">
        <f>IFERROR(INDEX(Classifiche!$L$4:$L$51,MATCH(E83,Classifiche!$B$4:$B$51,0)),"")</f>
        <v/>
      </c>
      <c r="I83" s="26">
        <f>IFERROR(INDEX(Classifiche!$M$4:$M$51,MATCH(D83,Classifiche!$B$4:$B$51,0)),FALSE)</f>
        <v/>
      </c>
      <c r="J83" s="26">
        <f>IFERROR(INDEX(Classifiche!$M$4:$M$51,MATCH(E83,Classifiche!$B$4:$B$51,0)),FALSE)</f>
        <v/>
      </c>
      <c r="K83" s="26">
        <f>IFERROR(INDEX(Classifiche!$O$4:$O$51,MATCH(D83,Classifiche!$B$4:$B$51,0)),FALSE)</f>
        <v/>
      </c>
      <c r="L83" s="26">
        <f>IFERROR(INDEX(Classifiche!$O$4:$O$51,MATCH(E83,Classifiche!$B$4:$B$51,0)),FALSE)</f>
        <v/>
      </c>
      <c r="M83" s="26">
        <f>IFERROR(INDEX(Classifiche!$V$4:$V$15,MATCH(C83,Classifiche!$U$4:$U$15,0)),FALSE)</f>
        <v/>
      </c>
      <c r="N83" s="26">
        <f>AND(I83,J83)</f>
        <v/>
      </c>
      <c r="O83" s="25">
        <f>IF(N83,IF(M83,"VINTA (def.)","In vincita"),IF(OR(K83,L83,M83),"PERSA (def.)","In perdita"))</f>
        <v/>
      </c>
      <c r="P83" s="26">
        <f>IF(OR(AND(N83,M83),AND(NOT(N83),OR(K83,L83,M83))),"SI","NO")</f>
        <v/>
      </c>
      <c r="Q83">
        <f>IF(N83,1,0)</f>
        <v/>
      </c>
      <c r="R83">
        <f>IF(OR(K83,L83,AND(M83,NOT(N83))),1,0)</f>
        <v/>
      </c>
      <c r="S83">
        <f>IF(N83,IF(M83,2,1),IF(OR(K83,L83,M83),-2,-1))</f>
        <v/>
      </c>
    </row>
    <row r="84">
      <c r="A84" s="26" t="n">
        <v>6</v>
      </c>
      <c r="B84" s="26" t="n">
        <v>1</v>
      </c>
      <c r="C84" s="26" t="inlineStr">
        <is>
          <t>C</t>
        </is>
      </c>
      <c r="D84" s="25" t="inlineStr">
        <is>
          <t>Brasile</t>
        </is>
      </c>
      <c r="E84" s="25" t="inlineStr">
        <is>
          <t>Scozia</t>
        </is>
      </c>
      <c r="F84" s="29" t="n">
        <v>2.25</v>
      </c>
      <c r="G84" s="26">
        <f>IFERROR(INDEX(Classifiche!$L$4:$L$51,MATCH(D84,Classifiche!$B$4:$B$51,0)),"")</f>
        <v/>
      </c>
      <c r="H84" s="26">
        <f>IFERROR(INDEX(Classifiche!$L$4:$L$51,MATCH(E84,Classifiche!$B$4:$B$51,0)),"")</f>
        <v/>
      </c>
      <c r="I84" s="26">
        <f>IFERROR(INDEX(Classifiche!$M$4:$M$51,MATCH(D84,Classifiche!$B$4:$B$51,0)),FALSE)</f>
        <v/>
      </c>
      <c r="J84" s="26">
        <f>IFERROR(INDEX(Classifiche!$M$4:$M$51,MATCH(E84,Classifiche!$B$4:$B$51,0)),FALSE)</f>
        <v/>
      </c>
      <c r="K84" s="26">
        <f>IFERROR(INDEX(Classifiche!$O$4:$O$51,MATCH(D84,Classifiche!$B$4:$B$51,0)),FALSE)</f>
        <v/>
      </c>
      <c r="L84" s="26">
        <f>IFERROR(INDEX(Classifiche!$O$4:$O$51,MATCH(E84,Classifiche!$B$4:$B$51,0)),FALSE)</f>
        <v/>
      </c>
      <c r="M84" s="26">
        <f>IFERROR(INDEX(Classifiche!$V$4:$V$15,MATCH(C84,Classifiche!$U$4:$U$15,0)),FALSE)</f>
        <v/>
      </c>
      <c r="N84" s="26">
        <f>AND(I84,J84)</f>
        <v/>
      </c>
      <c r="O84" s="25">
        <f>IF(N84,IF(M84,"VINTA (def.)","In vincita"),IF(OR(K84,L84,M84),"PERSA (def.)","In perdita"))</f>
        <v/>
      </c>
      <c r="P84" s="26">
        <f>IF(OR(AND(N84,M84),AND(NOT(N84),OR(K84,L84,M84))),"SI","NO")</f>
        <v/>
      </c>
      <c r="Q84">
        <f>IF(N84,1,0)</f>
        <v/>
      </c>
      <c r="R84">
        <f>IF(OR(K84,L84,AND(M84,NOT(N84))),1,0)</f>
        <v/>
      </c>
      <c r="S84">
        <f>IF(N84,IF(M84,2,1),IF(OR(K84,L84,M84),-2,-1))</f>
        <v/>
      </c>
    </row>
    <row r="85">
      <c r="A85" s="26" t="n">
        <v>6</v>
      </c>
      <c r="B85" s="26" t="n">
        <v>2</v>
      </c>
      <c r="C85" s="26" t="inlineStr">
        <is>
          <t>E</t>
        </is>
      </c>
      <c r="D85" s="25" t="inlineStr">
        <is>
          <t>Germania</t>
        </is>
      </c>
      <c r="E85" s="25" t="inlineStr">
        <is>
          <t>Ecuador</t>
        </is>
      </c>
      <c r="F85" s="29" t="n">
        <v>1.65</v>
      </c>
      <c r="G85" s="26">
        <f>IFERROR(INDEX(Classifiche!$L$4:$L$51,MATCH(D85,Classifiche!$B$4:$B$51,0)),"")</f>
        <v/>
      </c>
      <c r="H85" s="26">
        <f>IFERROR(INDEX(Classifiche!$L$4:$L$51,MATCH(E85,Classifiche!$B$4:$B$51,0)),"")</f>
        <v/>
      </c>
      <c r="I85" s="26">
        <f>IFERROR(INDEX(Classifiche!$M$4:$M$51,MATCH(D85,Classifiche!$B$4:$B$51,0)),FALSE)</f>
        <v/>
      </c>
      <c r="J85" s="26">
        <f>IFERROR(INDEX(Classifiche!$M$4:$M$51,MATCH(E85,Classifiche!$B$4:$B$51,0)),FALSE)</f>
        <v/>
      </c>
      <c r="K85" s="26">
        <f>IFERROR(INDEX(Classifiche!$O$4:$O$51,MATCH(D85,Classifiche!$B$4:$B$51,0)),FALSE)</f>
        <v/>
      </c>
      <c r="L85" s="26">
        <f>IFERROR(INDEX(Classifiche!$O$4:$O$51,MATCH(E85,Classifiche!$B$4:$B$51,0)),FALSE)</f>
        <v/>
      </c>
      <c r="M85" s="26">
        <f>IFERROR(INDEX(Classifiche!$V$4:$V$15,MATCH(C85,Classifiche!$U$4:$U$15,0)),FALSE)</f>
        <v/>
      </c>
      <c r="N85" s="26">
        <f>AND(I85,J85)</f>
        <v/>
      </c>
      <c r="O85" s="25">
        <f>IF(N85,IF(M85,"VINTA (def.)","In vincita"),IF(OR(K85,L85,M85),"PERSA (def.)","In perdita"))</f>
        <v/>
      </c>
      <c r="P85" s="26">
        <f>IF(OR(AND(N85,M85),AND(NOT(N85),OR(K85,L85,M85))),"SI","NO")</f>
        <v/>
      </c>
      <c r="Q85">
        <f>IF(N85,1,0)</f>
        <v/>
      </c>
      <c r="R85">
        <f>IF(OR(K85,L85,AND(M85,NOT(N85))),1,0)</f>
        <v/>
      </c>
      <c r="S85">
        <f>IF(N85,IF(M85,2,1),IF(OR(K85,L85,M85),-2,-1))</f>
        <v/>
      </c>
    </row>
    <row r="86">
      <c r="A86" s="26" t="n">
        <v>6</v>
      </c>
      <c r="B86" s="26" t="n">
        <v>3</v>
      </c>
      <c r="C86" s="26" t="inlineStr">
        <is>
          <t>F</t>
        </is>
      </c>
      <c r="D86" s="25" t="inlineStr">
        <is>
          <t>Olanda</t>
        </is>
      </c>
      <c r="E86" s="25" t="inlineStr">
        <is>
          <t>Giappone</t>
        </is>
      </c>
      <c r="F86" s="29" t="n">
        <v>2.25</v>
      </c>
      <c r="G86" s="26">
        <f>IFERROR(INDEX(Classifiche!$L$4:$L$51,MATCH(D86,Classifiche!$B$4:$B$51,0)),"")</f>
        <v/>
      </c>
      <c r="H86" s="26">
        <f>IFERROR(INDEX(Classifiche!$L$4:$L$51,MATCH(E86,Classifiche!$B$4:$B$51,0)),"")</f>
        <v/>
      </c>
      <c r="I86" s="26">
        <f>IFERROR(INDEX(Classifiche!$M$4:$M$51,MATCH(D86,Classifiche!$B$4:$B$51,0)),FALSE)</f>
        <v/>
      </c>
      <c r="J86" s="26">
        <f>IFERROR(INDEX(Classifiche!$M$4:$M$51,MATCH(E86,Classifiche!$B$4:$B$51,0)),FALSE)</f>
        <v/>
      </c>
      <c r="K86" s="26">
        <f>IFERROR(INDEX(Classifiche!$O$4:$O$51,MATCH(D86,Classifiche!$B$4:$B$51,0)),FALSE)</f>
        <v/>
      </c>
      <c r="L86" s="26">
        <f>IFERROR(INDEX(Classifiche!$O$4:$O$51,MATCH(E86,Classifiche!$B$4:$B$51,0)),FALSE)</f>
        <v/>
      </c>
      <c r="M86" s="26">
        <f>IFERROR(INDEX(Classifiche!$V$4:$V$15,MATCH(C86,Classifiche!$U$4:$U$15,0)),FALSE)</f>
        <v/>
      </c>
      <c r="N86" s="26">
        <f>AND(I86,J86)</f>
        <v/>
      </c>
      <c r="O86" s="25">
        <f>IF(N86,IF(M86,"VINTA (def.)","In vincita"),IF(OR(K86,L86,M86),"PERSA (def.)","In perdita"))</f>
        <v/>
      </c>
      <c r="P86" s="26">
        <f>IF(OR(AND(N86,M86),AND(NOT(N86),OR(K86,L86,M86))),"SI","NO")</f>
        <v/>
      </c>
      <c r="Q86">
        <f>IF(N86,1,0)</f>
        <v/>
      </c>
      <c r="R86">
        <f>IF(OR(K86,L86,AND(M86,NOT(N86))),1,0)</f>
        <v/>
      </c>
      <c r="S86">
        <f>IF(N86,IF(M86,2,1),IF(OR(K86,L86,M86),-2,-1))</f>
        <v/>
      </c>
    </row>
    <row r="87">
      <c r="A87" s="26" t="n">
        <v>6</v>
      </c>
      <c r="B87" s="26" t="n">
        <v>4</v>
      </c>
      <c r="C87" s="26" t="inlineStr">
        <is>
          <t>F</t>
        </is>
      </c>
      <c r="D87" s="25" t="inlineStr">
        <is>
          <t>Olanda</t>
        </is>
      </c>
      <c r="E87" s="25" t="inlineStr">
        <is>
          <t>Svezia</t>
        </is>
      </c>
      <c r="F87" s="29" t="n">
        <v>2.75</v>
      </c>
      <c r="G87" s="26">
        <f>IFERROR(INDEX(Classifiche!$L$4:$L$51,MATCH(D87,Classifiche!$B$4:$B$51,0)),"")</f>
        <v/>
      </c>
      <c r="H87" s="26">
        <f>IFERROR(INDEX(Classifiche!$L$4:$L$51,MATCH(E87,Classifiche!$B$4:$B$51,0)),"")</f>
        <v/>
      </c>
      <c r="I87" s="26">
        <f>IFERROR(INDEX(Classifiche!$M$4:$M$51,MATCH(D87,Classifiche!$B$4:$B$51,0)),FALSE)</f>
        <v/>
      </c>
      <c r="J87" s="26">
        <f>IFERROR(INDEX(Classifiche!$M$4:$M$51,MATCH(E87,Classifiche!$B$4:$B$51,0)),FALSE)</f>
        <v/>
      </c>
      <c r="K87" s="26">
        <f>IFERROR(INDEX(Classifiche!$O$4:$O$51,MATCH(D87,Classifiche!$B$4:$B$51,0)),FALSE)</f>
        <v/>
      </c>
      <c r="L87" s="26">
        <f>IFERROR(INDEX(Classifiche!$O$4:$O$51,MATCH(E87,Classifiche!$B$4:$B$51,0)),FALSE)</f>
        <v/>
      </c>
      <c r="M87" s="26">
        <f>IFERROR(INDEX(Classifiche!$V$4:$V$15,MATCH(C87,Classifiche!$U$4:$U$15,0)),FALSE)</f>
        <v/>
      </c>
      <c r="N87" s="26">
        <f>AND(I87,J87)</f>
        <v/>
      </c>
      <c r="O87" s="25">
        <f>IF(N87,IF(M87,"VINTA (def.)","In vincita"),IF(OR(K87,L87,M87),"PERSA (def.)","In perdita"))</f>
        <v/>
      </c>
      <c r="P87" s="26">
        <f>IF(OR(AND(N87,M87),AND(NOT(N87),OR(K87,L87,M87))),"SI","NO")</f>
        <v/>
      </c>
      <c r="Q87">
        <f>IF(N87,1,0)</f>
        <v/>
      </c>
      <c r="R87">
        <f>IF(OR(K87,L87,AND(M87,NOT(N87))),1,0)</f>
        <v/>
      </c>
      <c r="S87">
        <f>IF(N87,IF(M87,2,1),IF(OR(K87,L87,M87),-2,-1))</f>
        <v/>
      </c>
    </row>
    <row r="88">
      <c r="A88" s="26" t="n">
        <v>6</v>
      </c>
      <c r="B88" s="26" t="n">
        <v>5</v>
      </c>
      <c r="C88" s="26" t="inlineStr">
        <is>
          <t>F</t>
        </is>
      </c>
      <c r="D88" s="25" t="inlineStr">
        <is>
          <t>Giappone</t>
        </is>
      </c>
      <c r="E88" s="25" t="inlineStr">
        <is>
          <t>Svezia</t>
        </is>
      </c>
      <c r="F88" s="29" t="n">
        <v>5</v>
      </c>
      <c r="G88" s="26">
        <f>IFERROR(INDEX(Classifiche!$L$4:$L$51,MATCH(D88,Classifiche!$B$4:$B$51,0)),"")</f>
        <v/>
      </c>
      <c r="H88" s="26">
        <f>IFERROR(INDEX(Classifiche!$L$4:$L$51,MATCH(E88,Classifiche!$B$4:$B$51,0)),"")</f>
        <v/>
      </c>
      <c r="I88" s="26">
        <f>IFERROR(INDEX(Classifiche!$M$4:$M$51,MATCH(D88,Classifiche!$B$4:$B$51,0)),FALSE)</f>
        <v/>
      </c>
      <c r="J88" s="26">
        <f>IFERROR(INDEX(Classifiche!$M$4:$M$51,MATCH(E88,Classifiche!$B$4:$B$51,0)),FALSE)</f>
        <v/>
      </c>
      <c r="K88" s="26">
        <f>IFERROR(INDEX(Classifiche!$O$4:$O$51,MATCH(D88,Classifiche!$B$4:$B$51,0)),FALSE)</f>
        <v/>
      </c>
      <c r="L88" s="26">
        <f>IFERROR(INDEX(Classifiche!$O$4:$O$51,MATCH(E88,Classifiche!$B$4:$B$51,0)),FALSE)</f>
        <v/>
      </c>
      <c r="M88" s="26">
        <f>IFERROR(INDEX(Classifiche!$V$4:$V$15,MATCH(C88,Classifiche!$U$4:$U$15,0)),FALSE)</f>
        <v/>
      </c>
      <c r="N88" s="26">
        <f>AND(I88,J88)</f>
        <v/>
      </c>
      <c r="O88" s="25">
        <f>IF(N88,IF(M88,"VINTA (def.)","In vincita"),IF(OR(K88,L88,M88),"PERSA (def.)","In perdita"))</f>
        <v/>
      </c>
      <c r="P88" s="26">
        <f>IF(OR(AND(N88,M88),AND(NOT(N88),OR(K88,L88,M88))),"SI","NO")</f>
        <v/>
      </c>
      <c r="Q88">
        <f>IF(N88,1,0)</f>
        <v/>
      </c>
      <c r="R88">
        <f>IF(OR(K88,L88,AND(M88,NOT(N88))),1,0)</f>
        <v/>
      </c>
      <c r="S88">
        <f>IF(N88,IF(M88,2,1),IF(OR(K88,L88,M88),-2,-1))</f>
        <v/>
      </c>
    </row>
    <row r="89">
      <c r="A89" s="26" t="n">
        <v>6</v>
      </c>
      <c r="B89" s="26" t="n">
        <v>6</v>
      </c>
      <c r="C89" s="26" t="inlineStr">
        <is>
          <t>D</t>
        </is>
      </c>
      <c r="D89" s="25" t="inlineStr">
        <is>
          <t>Stati Uniti</t>
        </is>
      </c>
      <c r="E89" s="25" t="inlineStr">
        <is>
          <t>Turchia</t>
        </is>
      </c>
      <c r="F89" s="29" t="n">
        <v>2.25</v>
      </c>
      <c r="G89" s="26">
        <f>IFERROR(INDEX(Classifiche!$L$4:$L$51,MATCH(D89,Classifiche!$B$4:$B$51,0)),"")</f>
        <v/>
      </c>
      <c r="H89" s="26">
        <f>IFERROR(INDEX(Classifiche!$L$4:$L$51,MATCH(E89,Classifiche!$B$4:$B$51,0)),"")</f>
        <v/>
      </c>
      <c r="I89" s="26">
        <f>IFERROR(INDEX(Classifiche!$M$4:$M$51,MATCH(D89,Classifiche!$B$4:$B$51,0)),FALSE)</f>
        <v/>
      </c>
      <c r="J89" s="26">
        <f>IFERROR(INDEX(Classifiche!$M$4:$M$51,MATCH(E89,Classifiche!$B$4:$B$51,0)),FALSE)</f>
        <v/>
      </c>
      <c r="K89" s="26">
        <f>IFERROR(INDEX(Classifiche!$O$4:$O$51,MATCH(D89,Classifiche!$B$4:$B$51,0)),FALSE)</f>
        <v/>
      </c>
      <c r="L89" s="26">
        <f>IFERROR(INDEX(Classifiche!$O$4:$O$51,MATCH(E89,Classifiche!$B$4:$B$51,0)),FALSE)</f>
        <v/>
      </c>
      <c r="M89" s="26">
        <f>IFERROR(INDEX(Classifiche!$V$4:$V$15,MATCH(C89,Classifiche!$U$4:$U$15,0)),FALSE)</f>
        <v/>
      </c>
      <c r="N89" s="26">
        <f>AND(I89,J89)</f>
        <v/>
      </c>
      <c r="O89" s="25">
        <f>IF(N89,IF(M89,"VINTA (def.)","In vincita"),IF(OR(K89,L89,M89),"PERSA (def.)","In perdita"))</f>
        <v/>
      </c>
      <c r="P89" s="26">
        <f>IF(OR(AND(N89,M89),AND(NOT(N89),OR(K89,L89,M89))),"SI","NO")</f>
        <v/>
      </c>
      <c r="Q89">
        <f>IF(N89,1,0)</f>
        <v/>
      </c>
      <c r="R89">
        <f>IF(OR(K89,L89,AND(M89,NOT(N89))),1,0)</f>
        <v/>
      </c>
      <c r="S89">
        <f>IF(N89,IF(M89,2,1),IF(OR(K89,L89,M89),-2,-1))</f>
        <v/>
      </c>
    </row>
    <row r="90">
      <c r="A90" s="26" t="n">
        <v>6</v>
      </c>
      <c r="B90" s="26" t="n">
        <v>7</v>
      </c>
      <c r="C90" s="26" t="inlineStr">
        <is>
          <t>D</t>
        </is>
      </c>
      <c r="D90" s="25" t="inlineStr">
        <is>
          <t>Stati Uniti</t>
        </is>
      </c>
      <c r="E90" s="25" t="inlineStr">
        <is>
          <t>Paraguay</t>
        </is>
      </c>
      <c r="F90" s="29" t="n">
        <v>3.5</v>
      </c>
      <c r="G90" s="26">
        <f>IFERROR(INDEX(Classifiche!$L$4:$L$51,MATCH(D90,Classifiche!$B$4:$B$51,0)),"")</f>
        <v/>
      </c>
      <c r="H90" s="26">
        <f>IFERROR(INDEX(Classifiche!$L$4:$L$51,MATCH(E90,Classifiche!$B$4:$B$51,0)),"")</f>
        <v/>
      </c>
      <c r="I90" s="26">
        <f>IFERROR(INDEX(Classifiche!$M$4:$M$51,MATCH(D90,Classifiche!$B$4:$B$51,0)),FALSE)</f>
        <v/>
      </c>
      <c r="J90" s="26">
        <f>IFERROR(INDEX(Classifiche!$M$4:$M$51,MATCH(E90,Classifiche!$B$4:$B$51,0)),FALSE)</f>
        <v/>
      </c>
      <c r="K90" s="26">
        <f>IFERROR(INDEX(Classifiche!$O$4:$O$51,MATCH(D90,Classifiche!$B$4:$B$51,0)),FALSE)</f>
        <v/>
      </c>
      <c r="L90" s="26">
        <f>IFERROR(INDEX(Classifiche!$O$4:$O$51,MATCH(E90,Classifiche!$B$4:$B$51,0)),FALSE)</f>
        <v/>
      </c>
      <c r="M90" s="26">
        <f>IFERROR(INDEX(Classifiche!$V$4:$V$15,MATCH(C90,Classifiche!$U$4:$U$15,0)),FALSE)</f>
        <v/>
      </c>
      <c r="N90" s="26">
        <f>AND(I90,J90)</f>
        <v/>
      </c>
      <c r="O90" s="25">
        <f>IF(N90,IF(M90,"VINTA (def.)","In vincita"),IF(OR(K90,L90,M90),"PERSA (def.)","In perdita"))</f>
        <v/>
      </c>
      <c r="P90" s="26">
        <f>IF(OR(AND(N90,M90),AND(NOT(N90),OR(K90,L90,M90))),"SI","NO")</f>
        <v/>
      </c>
      <c r="Q90">
        <f>IF(N90,1,0)</f>
        <v/>
      </c>
      <c r="R90">
        <f>IF(OR(K90,L90,AND(M90,NOT(N90))),1,0)</f>
        <v/>
      </c>
      <c r="S90">
        <f>IF(N90,IF(M90,2,1),IF(OR(K90,L90,M90),-2,-1))</f>
        <v/>
      </c>
    </row>
    <row r="91">
      <c r="A91" s="26" t="n">
        <v>6</v>
      </c>
      <c r="B91" s="26" t="n">
        <v>8</v>
      </c>
      <c r="C91" s="26" t="inlineStr">
        <is>
          <t>D</t>
        </is>
      </c>
      <c r="D91" s="25" t="inlineStr">
        <is>
          <t>Turchia</t>
        </is>
      </c>
      <c r="E91" s="25" t="inlineStr">
        <is>
          <t>Paraguay</t>
        </is>
      </c>
      <c r="F91" s="29" t="n">
        <v>4.5</v>
      </c>
      <c r="G91" s="26">
        <f>IFERROR(INDEX(Classifiche!$L$4:$L$51,MATCH(D91,Classifiche!$B$4:$B$51,0)),"")</f>
        <v/>
      </c>
      <c r="H91" s="26">
        <f>IFERROR(INDEX(Classifiche!$L$4:$L$51,MATCH(E91,Classifiche!$B$4:$B$51,0)),"")</f>
        <v/>
      </c>
      <c r="I91" s="26">
        <f>IFERROR(INDEX(Classifiche!$M$4:$M$51,MATCH(D91,Classifiche!$B$4:$B$51,0)),FALSE)</f>
        <v/>
      </c>
      <c r="J91" s="26">
        <f>IFERROR(INDEX(Classifiche!$M$4:$M$51,MATCH(E91,Classifiche!$B$4:$B$51,0)),FALSE)</f>
        <v/>
      </c>
      <c r="K91" s="26">
        <f>IFERROR(INDEX(Classifiche!$O$4:$O$51,MATCH(D91,Classifiche!$B$4:$B$51,0)),FALSE)</f>
        <v/>
      </c>
      <c r="L91" s="26">
        <f>IFERROR(INDEX(Classifiche!$O$4:$O$51,MATCH(E91,Classifiche!$B$4:$B$51,0)),FALSE)</f>
        <v/>
      </c>
      <c r="M91" s="26">
        <f>IFERROR(INDEX(Classifiche!$V$4:$V$15,MATCH(C91,Classifiche!$U$4:$U$15,0)),FALSE)</f>
        <v/>
      </c>
      <c r="N91" s="26">
        <f>AND(I91,J91)</f>
        <v/>
      </c>
      <c r="O91" s="25">
        <f>IF(N91,IF(M91,"VINTA (def.)","In vincita"),IF(OR(K91,L91,M91),"PERSA (def.)","In perdita"))</f>
        <v/>
      </c>
      <c r="P91" s="26">
        <f>IF(OR(AND(N91,M91),AND(NOT(N91),OR(K91,L91,M91))),"SI","NO")</f>
        <v/>
      </c>
      <c r="Q91">
        <f>IF(N91,1,0)</f>
        <v/>
      </c>
      <c r="R91">
        <f>IF(OR(K91,L91,AND(M91,NOT(N91))),1,0)</f>
        <v/>
      </c>
      <c r="S91">
        <f>IF(N91,IF(M91,2,1),IF(OR(K91,L91,M91),-2,-1))</f>
        <v/>
      </c>
    </row>
    <row r="92">
      <c r="A92" s="26" t="n">
        <v>6</v>
      </c>
      <c r="B92" s="26" t="n">
        <v>9</v>
      </c>
      <c r="C92" s="26" t="inlineStr">
        <is>
          <t>I</t>
        </is>
      </c>
      <c r="D92" s="25" t="inlineStr">
        <is>
          <t>Francia</t>
        </is>
      </c>
      <c r="E92" s="25" t="inlineStr">
        <is>
          <t>Norvegia</t>
        </is>
      </c>
      <c r="F92" s="29" t="n">
        <v>1.55</v>
      </c>
      <c r="G92" s="26">
        <f>IFERROR(INDEX(Classifiche!$L$4:$L$51,MATCH(D92,Classifiche!$B$4:$B$51,0)),"")</f>
        <v/>
      </c>
      <c r="H92" s="26">
        <f>IFERROR(INDEX(Classifiche!$L$4:$L$51,MATCH(E92,Classifiche!$B$4:$B$51,0)),"")</f>
        <v/>
      </c>
      <c r="I92" s="26">
        <f>IFERROR(INDEX(Classifiche!$M$4:$M$51,MATCH(D92,Classifiche!$B$4:$B$51,0)),FALSE)</f>
        <v/>
      </c>
      <c r="J92" s="26">
        <f>IFERROR(INDEX(Classifiche!$M$4:$M$51,MATCH(E92,Classifiche!$B$4:$B$51,0)),FALSE)</f>
        <v/>
      </c>
      <c r="K92" s="26">
        <f>IFERROR(INDEX(Classifiche!$O$4:$O$51,MATCH(D92,Classifiche!$B$4:$B$51,0)),FALSE)</f>
        <v/>
      </c>
      <c r="L92" s="26">
        <f>IFERROR(INDEX(Classifiche!$O$4:$O$51,MATCH(E92,Classifiche!$B$4:$B$51,0)),FALSE)</f>
        <v/>
      </c>
      <c r="M92" s="26">
        <f>IFERROR(INDEX(Classifiche!$V$4:$V$15,MATCH(C92,Classifiche!$U$4:$U$15,0)),FALSE)</f>
        <v/>
      </c>
      <c r="N92" s="26">
        <f>AND(I92,J92)</f>
        <v/>
      </c>
      <c r="O92" s="25">
        <f>IF(N92,IF(M92,"VINTA (def.)","In vincita"),IF(OR(K92,L92,M92),"PERSA (def.)","In perdita"))</f>
        <v/>
      </c>
      <c r="P92" s="26">
        <f>IF(OR(AND(N92,M92),AND(NOT(N92),OR(K92,L92,M92))),"SI","NO")</f>
        <v/>
      </c>
      <c r="Q92">
        <f>IF(N92,1,0)</f>
        <v/>
      </c>
      <c r="R92">
        <f>IF(OR(K92,L92,AND(M92,NOT(N92))),1,0)</f>
        <v/>
      </c>
      <c r="S92">
        <f>IF(N92,IF(M92,2,1),IF(OR(K92,L92,M92),-2,-1))</f>
        <v/>
      </c>
    </row>
    <row r="93">
      <c r="A93" s="26" t="n">
        <v>6</v>
      </c>
      <c r="B93" s="26" t="n">
        <v>10</v>
      </c>
      <c r="C93" s="26" t="inlineStr">
        <is>
          <t>H</t>
        </is>
      </c>
      <c r="D93" s="25" t="inlineStr">
        <is>
          <t>Spagna</t>
        </is>
      </c>
      <c r="E93" s="25" t="inlineStr">
        <is>
          <t>Uruguay</t>
        </is>
      </c>
      <c r="F93" s="29" t="n">
        <v>1.35</v>
      </c>
      <c r="G93" s="26">
        <f>IFERROR(INDEX(Classifiche!$L$4:$L$51,MATCH(D93,Classifiche!$B$4:$B$51,0)),"")</f>
        <v/>
      </c>
      <c r="H93" s="26">
        <f>IFERROR(INDEX(Classifiche!$L$4:$L$51,MATCH(E93,Classifiche!$B$4:$B$51,0)),"")</f>
        <v/>
      </c>
      <c r="I93" s="26">
        <f>IFERROR(INDEX(Classifiche!$M$4:$M$51,MATCH(D93,Classifiche!$B$4:$B$51,0)),FALSE)</f>
        <v/>
      </c>
      <c r="J93" s="26">
        <f>IFERROR(INDEX(Classifiche!$M$4:$M$51,MATCH(E93,Classifiche!$B$4:$B$51,0)),FALSE)</f>
        <v/>
      </c>
      <c r="K93" s="26">
        <f>IFERROR(INDEX(Classifiche!$O$4:$O$51,MATCH(D93,Classifiche!$B$4:$B$51,0)),FALSE)</f>
        <v/>
      </c>
      <c r="L93" s="26">
        <f>IFERROR(INDEX(Classifiche!$O$4:$O$51,MATCH(E93,Classifiche!$B$4:$B$51,0)),FALSE)</f>
        <v/>
      </c>
      <c r="M93" s="26">
        <f>IFERROR(INDEX(Classifiche!$V$4:$V$15,MATCH(C93,Classifiche!$U$4:$U$15,0)),FALSE)</f>
        <v/>
      </c>
      <c r="N93" s="26">
        <f>AND(I93,J93)</f>
        <v/>
      </c>
      <c r="O93" s="25">
        <f>IF(N93,IF(M93,"VINTA (def.)","In vincita"),IF(OR(K93,L93,M93),"PERSA (def.)","In perdita"))</f>
        <v/>
      </c>
      <c r="P93" s="26">
        <f>IF(OR(AND(N93,M93),AND(NOT(N93),OR(K93,L93,M93))),"SI","NO")</f>
        <v/>
      </c>
      <c r="Q93">
        <f>IF(N93,1,0)</f>
        <v/>
      </c>
      <c r="R93">
        <f>IF(OR(K93,L93,AND(M93,NOT(N93))),1,0)</f>
        <v/>
      </c>
      <c r="S93">
        <f>IF(N93,IF(M93,2,1),IF(OR(K93,L93,M93),-2,-1))</f>
        <v/>
      </c>
    </row>
    <row r="94">
      <c r="A94" s="26" t="n">
        <v>6</v>
      </c>
      <c r="B94" s="26" t="n">
        <v>11</v>
      </c>
      <c r="C94" s="26" t="inlineStr">
        <is>
          <t>G</t>
        </is>
      </c>
      <c r="D94" s="25" t="inlineStr">
        <is>
          <t>Belgio</t>
        </is>
      </c>
      <c r="E94" s="25" t="inlineStr">
        <is>
          <t>Egitto</t>
        </is>
      </c>
      <c r="F94" s="29" t="n">
        <v>1.85</v>
      </c>
      <c r="G94" s="26">
        <f>IFERROR(INDEX(Classifiche!$L$4:$L$51,MATCH(D94,Classifiche!$B$4:$B$51,0)),"")</f>
        <v/>
      </c>
      <c r="H94" s="26">
        <f>IFERROR(INDEX(Classifiche!$L$4:$L$51,MATCH(E94,Classifiche!$B$4:$B$51,0)),"")</f>
        <v/>
      </c>
      <c r="I94" s="26">
        <f>IFERROR(INDEX(Classifiche!$M$4:$M$51,MATCH(D94,Classifiche!$B$4:$B$51,0)),FALSE)</f>
        <v/>
      </c>
      <c r="J94" s="26">
        <f>IFERROR(INDEX(Classifiche!$M$4:$M$51,MATCH(E94,Classifiche!$B$4:$B$51,0)),FALSE)</f>
        <v/>
      </c>
      <c r="K94" s="26">
        <f>IFERROR(INDEX(Classifiche!$O$4:$O$51,MATCH(D94,Classifiche!$B$4:$B$51,0)),FALSE)</f>
        <v/>
      </c>
      <c r="L94" s="26">
        <f>IFERROR(INDEX(Classifiche!$O$4:$O$51,MATCH(E94,Classifiche!$B$4:$B$51,0)),FALSE)</f>
        <v/>
      </c>
      <c r="M94" s="26">
        <f>IFERROR(INDEX(Classifiche!$V$4:$V$15,MATCH(C94,Classifiche!$U$4:$U$15,0)),FALSE)</f>
        <v/>
      </c>
      <c r="N94" s="26">
        <f>AND(I94,J94)</f>
        <v/>
      </c>
      <c r="O94" s="25">
        <f>IF(N94,IF(M94,"VINTA (def.)","In vincita"),IF(OR(K94,L94,M94),"PERSA (def.)","In perdita"))</f>
        <v/>
      </c>
      <c r="P94" s="26">
        <f>IF(OR(AND(N94,M94),AND(NOT(N94),OR(K94,L94,M94))),"SI","NO")</f>
        <v/>
      </c>
      <c r="Q94">
        <f>IF(N94,1,0)</f>
        <v/>
      </c>
      <c r="R94">
        <f>IF(OR(K94,L94,AND(M94,NOT(N94))),1,0)</f>
        <v/>
      </c>
      <c r="S94">
        <f>IF(N94,IF(M94,2,1),IF(OR(K94,L94,M94),-2,-1))</f>
        <v/>
      </c>
    </row>
    <row r="95">
      <c r="A95" s="26" t="n">
        <v>6</v>
      </c>
      <c r="B95" s="26" t="n">
        <v>12</v>
      </c>
      <c r="C95" s="26" t="inlineStr">
        <is>
          <t>G</t>
        </is>
      </c>
      <c r="D95" s="25" t="inlineStr">
        <is>
          <t>Belgio</t>
        </is>
      </c>
      <c r="E95" s="25" t="inlineStr">
        <is>
          <t>Iran</t>
        </is>
      </c>
      <c r="F95" s="29" t="n">
        <v>2.5</v>
      </c>
      <c r="G95" s="26">
        <f>IFERROR(INDEX(Classifiche!$L$4:$L$51,MATCH(D95,Classifiche!$B$4:$B$51,0)),"")</f>
        <v/>
      </c>
      <c r="H95" s="26">
        <f>IFERROR(INDEX(Classifiche!$L$4:$L$51,MATCH(E95,Classifiche!$B$4:$B$51,0)),"")</f>
        <v/>
      </c>
      <c r="I95" s="26">
        <f>IFERROR(INDEX(Classifiche!$M$4:$M$51,MATCH(D95,Classifiche!$B$4:$B$51,0)),FALSE)</f>
        <v/>
      </c>
      <c r="J95" s="26">
        <f>IFERROR(INDEX(Classifiche!$M$4:$M$51,MATCH(E95,Classifiche!$B$4:$B$51,0)),FALSE)</f>
        <v/>
      </c>
      <c r="K95" s="26">
        <f>IFERROR(INDEX(Classifiche!$O$4:$O$51,MATCH(D95,Classifiche!$B$4:$B$51,0)),FALSE)</f>
        <v/>
      </c>
      <c r="L95" s="26">
        <f>IFERROR(INDEX(Classifiche!$O$4:$O$51,MATCH(E95,Classifiche!$B$4:$B$51,0)),FALSE)</f>
        <v/>
      </c>
      <c r="M95" s="26">
        <f>IFERROR(INDEX(Classifiche!$V$4:$V$15,MATCH(C95,Classifiche!$U$4:$U$15,0)),FALSE)</f>
        <v/>
      </c>
      <c r="N95" s="26">
        <f>AND(I95,J95)</f>
        <v/>
      </c>
      <c r="O95" s="25">
        <f>IF(N95,IF(M95,"VINTA (def.)","In vincita"),IF(OR(K95,L95,M95),"PERSA (def.)","In perdita"))</f>
        <v/>
      </c>
      <c r="P95" s="26">
        <f>IF(OR(AND(N95,M95),AND(NOT(N95),OR(K95,L95,M95))),"SI","NO")</f>
        <v/>
      </c>
      <c r="Q95">
        <f>IF(N95,1,0)</f>
        <v/>
      </c>
      <c r="R95">
        <f>IF(OR(K95,L95,AND(M95,NOT(N95))),1,0)</f>
        <v/>
      </c>
      <c r="S95">
        <f>IF(N95,IF(M95,2,1),IF(OR(K95,L95,M95),-2,-1))</f>
        <v/>
      </c>
    </row>
    <row r="96">
      <c r="A96" s="26" t="n">
        <v>6</v>
      </c>
      <c r="B96" s="26" t="n">
        <v>13</v>
      </c>
      <c r="C96" s="26" t="inlineStr">
        <is>
          <t>G</t>
        </is>
      </c>
      <c r="D96" s="25" t="inlineStr">
        <is>
          <t>Belgio</t>
        </is>
      </c>
      <c r="E96" s="25" t="inlineStr">
        <is>
          <t>Nuova Zelanda</t>
        </is>
      </c>
      <c r="F96" s="29" t="n">
        <v>7.5</v>
      </c>
      <c r="G96" s="26">
        <f>IFERROR(INDEX(Classifiche!$L$4:$L$51,MATCH(D96,Classifiche!$B$4:$B$51,0)),"")</f>
        <v/>
      </c>
      <c r="H96" s="26">
        <f>IFERROR(INDEX(Classifiche!$L$4:$L$51,MATCH(E96,Classifiche!$B$4:$B$51,0)),"")</f>
        <v/>
      </c>
      <c r="I96" s="26">
        <f>IFERROR(INDEX(Classifiche!$M$4:$M$51,MATCH(D96,Classifiche!$B$4:$B$51,0)),FALSE)</f>
        <v/>
      </c>
      <c r="J96" s="26">
        <f>IFERROR(INDEX(Classifiche!$M$4:$M$51,MATCH(E96,Classifiche!$B$4:$B$51,0)),FALSE)</f>
        <v/>
      </c>
      <c r="K96" s="26">
        <f>IFERROR(INDEX(Classifiche!$O$4:$O$51,MATCH(D96,Classifiche!$B$4:$B$51,0)),FALSE)</f>
        <v/>
      </c>
      <c r="L96" s="26">
        <f>IFERROR(INDEX(Classifiche!$O$4:$O$51,MATCH(E96,Classifiche!$B$4:$B$51,0)),FALSE)</f>
        <v/>
      </c>
      <c r="M96" s="26">
        <f>IFERROR(INDEX(Classifiche!$V$4:$V$15,MATCH(C96,Classifiche!$U$4:$U$15,0)),FALSE)</f>
        <v/>
      </c>
      <c r="N96" s="26">
        <f>AND(I96,J96)</f>
        <v/>
      </c>
      <c r="O96" s="25">
        <f>IF(N96,IF(M96,"VINTA (def.)","In vincita"),IF(OR(K96,L96,M96),"PERSA (def.)","In perdita"))</f>
        <v/>
      </c>
      <c r="P96" s="26">
        <f>IF(OR(AND(N96,M96),AND(NOT(N96),OR(K96,L96,M96))),"SI","NO")</f>
        <v/>
      </c>
      <c r="Q96">
        <f>IF(N96,1,0)</f>
        <v/>
      </c>
      <c r="R96">
        <f>IF(OR(K96,L96,AND(M96,NOT(N96))),1,0)</f>
        <v/>
      </c>
      <c r="S96">
        <f>IF(N96,IF(M96,2,1),IF(OR(K96,L96,M96),-2,-1))</f>
        <v/>
      </c>
    </row>
    <row r="97">
      <c r="A97" s="26" t="n">
        <v>6</v>
      </c>
      <c r="B97" s="26" t="n">
        <v>14</v>
      </c>
      <c r="C97" s="26" t="inlineStr">
        <is>
          <t>L</t>
        </is>
      </c>
      <c r="D97" s="25" t="inlineStr">
        <is>
          <t>Inghilterra</t>
        </is>
      </c>
      <c r="E97" s="25" t="inlineStr">
        <is>
          <t>Ghana</t>
        </is>
      </c>
      <c r="F97" s="29" t="n">
        <v>3.5</v>
      </c>
      <c r="G97" s="26">
        <f>IFERROR(INDEX(Classifiche!$L$4:$L$51,MATCH(D97,Classifiche!$B$4:$B$51,0)),"")</f>
        <v/>
      </c>
      <c r="H97" s="26">
        <f>IFERROR(INDEX(Classifiche!$L$4:$L$51,MATCH(E97,Classifiche!$B$4:$B$51,0)),"")</f>
        <v/>
      </c>
      <c r="I97" s="26">
        <f>IFERROR(INDEX(Classifiche!$M$4:$M$51,MATCH(D97,Classifiche!$B$4:$B$51,0)),FALSE)</f>
        <v/>
      </c>
      <c r="J97" s="26">
        <f>IFERROR(INDEX(Classifiche!$M$4:$M$51,MATCH(E97,Classifiche!$B$4:$B$51,0)),FALSE)</f>
        <v/>
      </c>
      <c r="K97" s="26">
        <f>IFERROR(INDEX(Classifiche!$O$4:$O$51,MATCH(D97,Classifiche!$B$4:$B$51,0)),FALSE)</f>
        <v/>
      </c>
      <c r="L97" s="26">
        <f>IFERROR(INDEX(Classifiche!$O$4:$O$51,MATCH(E97,Classifiche!$B$4:$B$51,0)),FALSE)</f>
        <v/>
      </c>
      <c r="M97" s="26">
        <f>IFERROR(INDEX(Classifiche!$V$4:$V$15,MATCH(C97,Classifiche!$U$4:$U$15,0)),FALSE)</f>
        <v/>
      </c>
      <c r="N97" s="26">
        <f>AND(I97,J97)</f>
        <v/>
      </c>
      <c r="O97" s="25">
        <f>IF(N97,IF(M97,"VINTA (def.)","In vincita"),IF(OR(K97,L97,M97),"PERSA (def.)","In perdita"))</f>
        <v/>
      </c>
      <c r="P97" s="26">
        <f>IF(OR(AND(N97,M97),AND(NOT(N97),OR(K97,L97,M97))),"SI","NO")</f>
        <v/>
      </c>
      <c r="Q97">
        <f>IF(N97,1,0)</f>
        <v/>
      </c>
      <c r="R97">
        <f>IF(OR(K97,L97,AND(M97,NOT(N97))),1,0)</f>
        <v/>
      </c>
      <c r="S97">
        <f>IF(N97,IF(M97,2,1),IF(OR(K97,L97,M97),-2,-1))</f>
        <v/>
      </c>
    </row>
    <row r="98">
      <c r="A98" s="26" t="n">
        <v>6</v>
      </c>
      <c r="B98" s="26" t="n">
        <v>15</v>
      </c>
      <c r="C98" s="26" t="inlineStr">
        <is>
          <t>K</t>
        </is>
      </c>
      <c r="D98" s="25" t="inlineStr">
        <is>
          <t>Portogallo</t>
        </is>
      </c>
      <c r="E98" s="25" t="inlineStr">
        <is>
          <t>Colombia</t>
        </is>
      </c>
      <c r="F98" s="29" t="n">
        <v>1.25</v>
      </c>
      <c r="G98" s="26">
        <f>IFERROR(INDEX(Classifiche!$L$4:$L$51,MATCH(D98,Classifiche!$B$4:$B$51,0)),"")</f>
        <v/>
      </c>
      <c r="H98" s="26">
        <f>IFERROR(INDEX(Classifiche!$L$4:$L$51,MATCH(E98,Classifiche!$B$4:$B$51,0)),"")</f>
        <v/>
      </c>
      <c r="I98" s="26">
        <f>IFERROR(INDEX(Classifiche!$M$4:$M$51,MATCH(D98,Classifiche!$B$4:$B$51,0)),FALSE)</f>
        <v/>
      </c>
      <c r="J98" s="26">
        <f>IFERROR(INDEX(Classifiche!$M$4:$M$51,MATCH(E98,Classifiche!$B$4:$B$51,0)),FALSE)</f>
        <v/>
      </c>
      <c r="K98" s="26">
        <f>IFERROR(INDEX(Classifiche!$O$4:$O$51,MATCH(D98,Classifiche!$B$4:$B$51,0)),FALSE)</f>
        <v/>
      </c>
      <c r="L98" s="26">
        <f>IFERROR(INDEX(Classifiche!$O$4:$O$51,MATCH(E98,Classifiche!$B$4:$B$51,0)),FALSE)</f>
        <v/>
      </c>
      <c r="M98" s="26">
        <f>IFERROR(INDEX(Classifiche!$V$4:$V$15,MATCH(C98,Classifiche!$U$4:$U$15,0)),FALSE)</f>
        <v/>
      </c>
      <c r="N98" s="26">
        <f>AND(I98,J98)</f>
        <v/>
      </c>
      <c r="O98" s="25">
        <f>IF(N98,IF(M98,"VINTA (def.)","In vincita"),IF(OR(K98,L98,M98),"PERSA (def.)","In perdita"))</f>
        <v/>
      </c>
      <c r="P98" s="26">
        <f>IF(OR(AND(N98,M98),AND(NOT(N98),OR(K98,L98,M98))),"SI","NO")</f>
        <v/>
      </c>
      <c r="Q98">
        <f>IF(N98,1,0)</f>
        <v/>
      </c>
      <c r="R98">
        <f>IF(OR(K98,L98,AND(M98,NOT(N98))),1,0)</f>
        <v/>
      </c>
      <c r="S98">
        <f>IF(N98,IF(M98,2,1),IF(OR(K98,L98,M98),-2,-1))</f>
        <v/>
      </c>
    </row>
    <row r="99">
      <c r="A99" s="26" t="n">
        <v>6</v>
      </c>
      <c r="B99" s="26" t="n">
        <v>16</v>
      </c>
      <c r="C99" s="26" t="inlineStr">
        <is>
          <t>K</t>
        </is>
      </c>
      <c r="D99" s="25" t="inlineStr">
        <is>
          <t>Portogallo</t>
        </is>
      </c>
      <c r="E99" s="25" t="inlineStr">
        <is>
          <t>Rd Congo</t>
        </is>
      </c>
      <c r="F99" s="29" t="n">
        <v>4.5</v>
      </c>
      <c r="G99" s="26">
        <f>IFERROR(INDEX(Classifiche!$L$4:$L$51,MATCH(D99,Classifiche!$B$4:$B$51,0)),"")</f>
        <v/>
      </c>
      <c r="H99" s="26">
        <f>IFERROR(INDEX(Classifiche!$L$4:$L$51,MATCH(E99,Classifiche!$B$4:$B$51,0)),"")</f>
        <v/>
      </c>
      <c r="I99" s="26">
        <f>IFERROR(INDEX(Classifiche!$M$4:$M$51,MATCH(D99,Classifiche!$B$4:$B$51,0)),FALSE)</f>
        <v/>
      </c>
      <c r="J99" s="26">
        <f>IFERROR(INDEX(Classifiche!$M$4:$M$51,MATCH(E99,Classifiche!$B$4:$B$51,0)),FALSE)</f>
        <v/>
      </c>
      <c r="K99" s="26">
        <f>IFERROR(INDEX(Classifiche!$O$4:$O$51,MATCH(D99,Classifiche!$B$4:$B$51,0)),FALSE)</f>
        <v/>
      </c>
      <c r="L99" s="26">
        <f>IFERROR(INDEX(Classifiche!$O$4:$O$51,MATCH(E99,Classifiche!$B$4:$B$51,0)),FALSE)</f>
        <v/>
      </c>
      <c r="M99" s="26">
        <f>IFERROR(INDEX(Classifiche!$V$4:$V$15,MATCH(C99,Classifiche!$U$4:$U$15,0)),FALSE)</f>
        <v/>
      </c>
      <c r="N99" s="26">
        <f>AND(I99,J99)</f>
        <v/>
      </c>
      <c r="O99" s="25">
        <f>IF(N99,IF(M99,"VINTA (def.)","In vincita"),IF(OR(K99,L99,M99),"PERSA (def.)","In perdita"))</f>
        <v/>
      </c>
      <c r="P99" s="26">
        <f>IF(OR(AND(N99,M99),AND(NOT(N99),OR(K99,L99,M99))),"SI","NO")</f>
        <v/>
      </c>
      <c r="Q99">
        <f>IF(N99,1,0)</f>
        <v/>
      </c>
      <c r="R99">
        <f>IF(OR(K99,L99,AND(M99,NOT(N99))),1,0)</f>
        <v/>
      </c>
      <c r="S99">
        <f>IF(N99,IF(M99,2,1),IF(OR(K99,L99,M99),-2,-1))</f>
        <v/>
      </c>
    </row>
    <row r="100">
      <c r="A100" s="26" t="n">
        <v>6</v>
      </c>
      <c r="B100" s="26" t="n">
        <v>17</v>
      </c>
      <c r="C100" s="26" t="inlineStr">
        <is>
          <t>J</t>
        </is>
      </c>
      <c r="D100" s="25" t="inlineStr">
        <is>
          <t>Argentina</t>
        </is>
      </c>
      <c r="E100" s="25" t="inlineStr">
        <is>
          <t>Austria</t>
        </is>
      </c>
      <c r="F100" s="29" t="n">
        <v>1.6</v>
      </c>
      <c r="G100" s="26">
        <f>IFERROR(INDEX(Classifiche!$L$4:$L$51,MATCH(D100,Classifiche!$B$4:$B$51,0)),"")</f>
        <v/>
      </c>
      <c r="H100" s="26">
        <f>IFERROR(INDEX(Classifiche!$L$4:$L$51,MATCH(E100,Classifiche!$B$4:$B$51,0)),"")</f>
        <v/>
      </c>
      <c r="I100" s="26">
        <f>IFERROR(INDEX(Classifiche!$M$4:$M$51,MATCH(D100,Classifiche!$B$4:$B$51,0)),FALSE)</f>
        <v/>
      </c>
      <c r="J100" s="26">
        <f>IFERROR(INDEX(Classifiche!$M$4:$M$51,MATCH(E100,Classifiche!$B$4:$B$51,0)),FALSE)</f>
        <v/>
      </c>
      <c r="K100" s="26">
        <f>IFERROR(INDEX(Classifiche!$O$4:$O$51,MATCH(D100,Classifiche!$B$4:$B$51,0)),FALSE)</f>
        <v/>
      </c>
      <c r="L100" s="26">
        <f>IFERROR(INDEX(Classifiche!$O$4:$O$51,MATCH(E100,Classifiche!$B$4:$B$51,0)),FALSE)</f>
        <v/>
      </c>
      <c r="M100" s="26">
        <f>IFERROR(INDEX(Classifiche!$V$4:$V$15,MATCH(C100,Classifiche!$U$4:$U$15,0)),FALSE)</f>
        <v/>
      </c>
      <c r="N100" s="26">
        <f>AND(I100,J100)</f>
        <v/>
      </c>
      <c r="O100" s="25">
        <f>IF(N100,IF(M100,"VINTA (def.)","In vincita"),IF(OR(K100,L100,M100),"PERSA (def.)","In perdita"))</f>
        <v/>
      </c>
      <c r="P100" s="26">
        <f>IF(OR(AND(N100,M100),AND(NOT(N100),OR(K100,L100,M100))),"SI","NO")</f>
        <v/>
      </c>
      <c r="Q100">
        <f>IF(N100,1,0)</f>
        <v/>
      </c>
      <c r="R100">
        <f>IF(OR(K100,L100,AND(M100,NOT(N100))),1,0)</f>
        <v/>
      </c>
      <c r="S100">
        <f>IF(N100,IF(M100,2,1),IF(OR(K100,L100,M100),-2,-1))</f>
        <v/>
      </c>
    </row>
    <row r="101">
      <c r="A101" s="26" t="n">
        <v>7</v>
      </c>
      <c r="B101" s="26" t="n">
        <v>1</v>
      </c>
      <c r="C101" s="26" t="inlineStr">
        <is>
          <t>C</t>
        </is>
      </c>
      <c r="D101" s="25" t="inlineStr">
        <is>
          <t>Brasile</t>
        </is>
      </c>
      <c r="E101" s="25" t="inlineStr">
        <is>
          <t>Marocco</t>
        </is>
      </c>
      <c r="F101" s="29" t="n">
        <v>1.6</v>
      </c>
      <c r="G101" s="26">
        <f>IFERROR(INDEX(Classifiche!$L$4:$L$51,MATCH(D101,Classifiche!$B$4:$B$51,0)),"")</f>
        <v/>
      </c>
      <c r="H101" s="26">
        <f>IFERROR(INDEX(Classifiche!$L$4:$L$51,MATCH(E101,Classifiche!$B$4:$B$51,0)),"")</f>
        <v/>
      </c>
      <c r="I101" s="26">
        <f>IFERROR(INDEX(Classifiche!$M$4:$M$51,MATCH(D101,Classifiche!$B$4:$B$51,0)),FALSE)</f>
        <v/>
      </c>
      <c r="J101" s="26">
        <f>IFERROR(INDEX(Classifiche!$M$4:$M$51,MATCH(E101,Classifiche!$B$4:$B$51,0)),FALSE)</f>
        <v/>
      </c>
      <c r="K101" s="26">
        <f>IFERROR(INDEX(Classifiche!$O$4:$O$51,MATCH(D101,Classifiche!$B$4:$B$51,0)),FALSE)</f>
        <v/>
      </c>
      <c r="L101" s="26">
        <f>IFERROR(INDEX(Classifiche!$O$4:$O$51,MATCH(E101,Classifiche!$B$4:$B$51,0)),FALSE)</f>
        <v/>
      </c>
      <c r="M101" s="26">
        <f>IFERROR(INDEX(Classifiche!$V$4:$V$15,MATCH(C101,Classifiche!$U$4:$U$15,0)),FALSE)</f>
        <v/>
      </c>
      <c r="N101" s="26">
        <f>AND(I101,J101)</f>
        <v/>
      </c>
      <c r="O101" s="25">
        <f>IF(N101,IF(M101,"VINTA (def.)","In vincita"),IF(OR(K101,L101,M101),"PERSA (def.)","In perdita"))</f>
        <v/>
      </c>
      <c r="P101" s="26">
        <f>IF(OR(AND(N101,M101),AND(NOT(N101),OR(K101,L101,M101))),"SI","NO")</f>
        <v/>
      </c>
      <c r="Q101">
        <f>IF(N101,1,0)</f>
        <v/>
      </c>
      <c r="R101">
        <f>IF(OR(K101,L101,AND(M101,NOT(N101))),1,0)</f>
        <v/>
      </c>
      <c r="S101">
        <f>IF(N101,IF(M101,2,1),IF(OR(K101,L101,M101),-2,-1))</f>
        <v/>
      </c>
    </row>
    <row r="102">
      <c r="A102" s="26" t="n">
        <v>7</v>
      </c>
      <c r="B102" s="26" t="n">
        <v>2</v>
      </c>
      <c r="C102" s="26" t="inlineStr">
        <is>
          <t>E</t>
        </is>
      </c>
      <c r="D102" s="25" t="inlineStr">
        <is>
          <t>Germania</t>
        </is>
      </c>
      <c r="E102" s="25" t="inlineStr">
        <is>
          <t>Costa d'Avorio</t>
        </is>
      </c>
      <c r="F102" s="29" t="n">
        <v>2.25</v>
      </c>
      <c r="G102" s="26">
        <f>IFERROR(INDEX(Classifiche!$L$4:$L$51,MATCH(D102,Classifiche!$B$4:$B$51,0)),"")</f>
        <v/>
      </c>
      <c r="H102" s="26">
        <f>IFERROR(INDEX(Classifiche!$L$4:$L$51,MATCH(E102,Classifiche!$B$4:$B$51,0)),"")</f>
        <v/>
      </c>
      <c r="I102" s="26">
        <f>IFERROR(INDEX(Classifiche!$M$4:$M$51,MATCH(D102,Classifiche!$B$4:$B$51,0)),FALSE)</f>
        <v/>
      </c>
      <c r="J102" s="26">
        <f>IFERROR(INDEX(Classifiche!$M$4:$M$51,MATCH(E102,Classifiche!$B$4:$B$51,0)),FALSE)</f>
        <v/>
      </c>
      <c r="K102" s="26">
        <f>IFERROR(INDEX(Classifiche!$O$4:$O$51,MATCH(D102,Classifiche!$B$4:$B$51,0)),FALSE)</f>
        <v/>
      </c>
      <c r="L102" s="26">
        <f>IFERROR(INDEX(Classifiche!$O$4:$O$51,MATCH(E102,Classifiche!$B$4:$B$51,0)),FALSE)</f>
        <v/>
      </c>
      <c r="M102" s="26">
        <f>IFERROR(INDEX(Classifiche!$V$4:$V$15,MATCH(C102,Classifiche!$U$4:$U$15,0)),FALSE)</f>
        <v/>
      </c>
      <c r="N102" s="26">
        <f>AND(I102,J102)</f>
        <v/>
      </c>
      <c r="O102" s="25">
        <f>IF(N102,IF(M102,"VINTA (def.)","In vincita"),IF(OR(K102,L102,M102),"PERSA (def.)","In perdita"))</f>
        <v/>
      </c>
      <c r="P102" s="26">
        <f>IF(OR(AND(N102,M102),AND(NOT(N102),OR(K102,L102,M102))),"SI","NO")</f>
        <v/>
      </c>
      <c r="Q102">
        <f>IF(N102,1,0)</f>
        <v/>
      </c>
      <c r="R102">
        <f>IF(OR(K102,L102,AND(M102,NOT(N102))),1,0)</f>
        <v/>
      </c>
      <c r="S102">
        <f>IF(N102,IF(M102,2,1),IF(OR(K102,L102,M102),-2,-1))</f>
        <v/>
      </c>
    </row>
    <row r="103">
      <c r="A103" s="26" t="n">
        <v>7</v>
      </c>
      <c r="B103" s="26" t="n">
        <v>3</v>
      </c>
      <c r="C103" s="26" t="inlineStr">
        <is>
          <t>F</t>
        </is>
      </c>
      <c r="D103" s="25" t="inlineStr">
        <is>
          <t>Olanda</t>
        </is>
      </c>
      <c r="E103" s="25" t="inlineStr">
        <is>
          <t>Giappone</t>
        </is>
      </c>
      <c r="F103" s="29" t="n">
        <v>2.25</v>
      </c>
      <c r="G103" s="26">
        <f>IFERROR(INDEX(Classifiche!$L$4:$L$51,MATCH(D103,Classifiche!$B$4:$B$51,0)),"")</f>
        <v/>
      </c>
      <c r="H103" s="26">
        <f>IFERROR(INDEX(Classifiche!$L$4:$L$51,MATCH(E103,Classifiche!$B$4:$B$51,0)),"")</f>
        <v/>
      </c>
      <c r="I103" s="26">
        <f>IFERROR(INDEX(Classifiche!$M$4:$M$51,MATCH(D103,Classifiche!$B$4:$B$51,0)),FALSE)</f>
        <v/>
      </c>
      <c r="J103" s="26">
        <f>IFERROR(INDEX(Classifiche!$M$4:$M$51,MATCH(E103,Classifiche!$B$4:$B$51,0)),FALSE)</f>
        <v/>
      </c>
      <c r="K103" s="26">
        <f>IFERROR(INDEX(Classifiche!$O$4:$O$51,MATCH(D103,Classifiche!$B$4:$B$51,0)),FALSE)</f>
        <v/>
      </c>
      <c r="L103" s="26">
        <f>IFERROR(INDEX(Classifiche!$O$4:$O$51,MATCH(E103,Classifiche!$B$4:$B$51,0)),FALSE)</f>
        <v/>
      </c>
      <c r="M103" s="26">
        <f>IFERROR(INDEX(Classifiche!$V$4:$V$15,MATCH(C103,Classifiche!$U$4:$U$15,0)),FALSE)</f>
        <v/>
      </c>
      <c r="N103" s="26">
        <f>AND(I103,J103)</f>
        <v/>
      </c>
      <c r="O103" s="25">
        <f>IF(N103,IF(M103,"VINTA (def.)","In vincita"),IF(OR(K103,L103,M103),"PERSA (def.)","In perdita"))</f>
        <v/>
      </c>
      <c r="P103" s="26">
        <f>IF(OR(AND(N103,M103),AND(NOT(N103),OR(K103,L103,M103))),"SI","NO")</f>
        <v/>
      </c>
      <c r="Q103">
        <f>IF(N103,1,0)</f>
        <v/>
      </c>
      <c r="R103">
        <f>IF(OR(K103,L103,AND(M103,NOT(N103))),1,0)</f>
        <v/>
      </c>
      <c r="S103">
        <f>IF(N103,IF(M103,2,1),IF(OR(K103,L103,M103),-2,-1))</f>
        <v/>
      </c>
    </row>
    <row r="104">
      <c r="A104" s="26" t="n">
        <v>7</v>
      </c>
      <c r="B104" s="26" t="n">
        <v>4</v>
      </c>
      <c r="C104" s="26" t="inlineStr">
        <is>
          <t>F</t>
        </is>
      </c>
      <c r="D104" s="25" t="inlineStr">
        <is>
          <t>Olanda</t>
        </is>
      </c>
      <c r="E104" s="25" t="inlineStr">
        <is>
          <t>Svezia</t>
        </is>
      </c>
      <c r="F104" s="29" t="n">
        <v>2.75</v>
      </c>
      <c r="G104" s="26">
        <f>IFERROR(INDEX(Classifiche!$L$4:$L$51,MATCH(D104,Classifiche!$B$4:$B$51,0)),"")</f>
        <v/>
      </c>
      <c r="H104" s="26">
        <f>IFERROR(INDEX(Classifiche!$L$4:$L$51,MATCH(E104,Classifiche!$B$4:$B$51,0)),"")</f>
        <v/>
      </c>
      <c r="I104" s="26">
        <f>IFERROR(INDEX(Classifiche!$M$4:$M$51,MATCH(D104,Classifiche!$B$4:$B$51,0)),FALSE)</f>
        <v/>
      </c>
      <c r="J104" s="26">
        <f>IFERROR(INDEX(Classifiche!$M$4:$M$51,MATCH(E104,Classifiche!$B$4:$B$51,0)),FALSE)</f>
        <v/>
      </c>
      <c r="K104" s="26">
        <f>IFERROR(INDEX(Classifiche!$O$4:$O$51,MATCH(D104,Classifiche!$B$4:$B$51,0)),FALSE)</f>
        <v/>
      </c>
      <c r="L104" s="26">
        <f>IFERROR(INDEX(Classifiche!$O$4:$O$51,MATCH(E104,Classifiche!$B$4:$B$51,0)),FALSE)</f>
        <v/>
      </c>
      <c r="M104" s="26">
        <f>IFERROR(INDEX(Classifiche!$V$4:$V$15,MATCH(C104,Classifiche!$U$4:$U$15,0)),FALSE)</f>
        <v/>
      </c>
      <c r="N104" s="26">
        <f>AND(I104,J104)</f>
        <v/>
      </c>
      <c r="O104" s="25">
        <f>IF(N104,IF(M104,"VINTA (def.)","In vincita"),IF(OR(K104,L104,M104),"PERSA (def.)","In perdita"))</f>
        <v/>
      </c>
      <c r="P104" s="26">
        <f>IF(OR(AND(N104,M104),AND(NOT(N104),OR(K104,L104,M104))),"SI","NO")</f>
        <v/>
      </c>
      <c r="Q104">
        <f>IF(N104,1,0)</f>
        <v/>
      </c>
      <c r="R104">
        <f>IF(OR(K104,L104,AND(M104,NOT(N104))),1,0)</f>
        <v/>
      </c>
      <c r="S104">
        <f>IF(N104,IF(M104,2,1),IF(OR(K104,L104,M104),-2,-1))</f>
        <v/>
      </c>
    </row>
    <row r="105">
      <c r="A105" s="26" t="n">
        <v>7</v>
      </c>
      <c r="B105" s="26" t="n">
        <v>5</v>
      </c>
      <c r="C105" s="26" t="inlineStr">
        <is>
          <t>F</t>
        </is>
      </c>
      <c r="D105" s="25" t="inlineStr">
        <is>
          <t>Giappone</t>
        </is>
      </c>
      <c r="E105" s="25" t="inlineStr">
        <is>
          <t>Svezia</t>
        </is>
      </c>
      <c r="F105" s="29" t="n">
        <v>5</v>
      </c>
      <c r="G105" s="26">
        <f>IFERROR(INDEX(Classifiche!$L$4:$L$51,MATCH(D105,Classifiche!$B$4:$B$51,0)),"")</f>
        <v/>
      </c>
      <c r="H105" s="26">
        <f>IFERROR(INDEX(Classifiche!$L$4:$L$51,MATCH(E105,Classifiche!$B$4:$B$51,0)),"")</f>
        <v/>
      </c>
      <c r="I105" s="26">
        <f>IFERROR(INDEX(Classifiche!$M$4:$M$51,MATCH(D105,Classifiche!$B$4:$B$51,0)),FALSE)</f>
        <v/>
      </c>
      <c r="J105" s="26">
        <f>IFERROR(INDEX(Classifiche!$M$4:$M$51,MATCH(E105,Classifiche!$B$4:$B$51,0)),FALSE)</f>
        <v/>
      </c>
      <c r="K105" s="26">
        <f>IFERROR(INDEX(Classifiche!$O$4:$O$51,MATCH(D105,Classifiche!$B$4:$B$51,0)),FALSE)</f>
        <v/>
      </c>
      <c r="L105" s="26">
        <f>IFERROR(INDEX(Classifiche!$O$4:$O$51,MATCH(E105,Classifiche!$B$4:$B$51,0)),FALSE)</f>
        <v/>
      </c>
      <c r="M105" s="26">
        <f>IFERROR(INDEX(Classifiche!$V$4:$V$15,MATCH(C105,Classifiche!$U$4:$U$15,0)),FALSE)</f>
        <v/>
      </c>
      <c r="N105" s="26">
        <f>AND(I105,J105)</f>
        <v/>
      </c>
      <c r="O105" s="25">
        <f>IF(N105,IF(M105,"VINTA (def.)","In vincita"),IF(OR(K105,L105,M105),"PERSA (def.)","In perdita"))</f>
        <v/>
      </c>
      <c r="P105" s="26">
        <f>IF(OR(AND(N105,M105),AND(NOT(N105),OR(K105,L105,M105))),"SI","NO")</f>
        <v/>
      </c>
      <c r="Q105">
        <f>IF(N105,1,0)</f>
        <v/>
      </c>
      <c r="R105">
        <f>IF(OR(K105,L105,AND(M105,NOT(N105))),1,0)</f>
        <v/>
      </c>
      <c r="S105">
        <f>IF(N105,IF(M105,2,1),IF(OR(K105,L105,M105),-2,-1))</f>
        <v/>
      </c>
    </row>
    <row r="106">
      <c r="A106" s="26" t="n">
        <v>7</v>
      </c>
      <c r="B106" s="26" t="n">
        <v>6</v>
      </c>
      <c r="C106" s="26" t="inlineStr">
        <is>
          <t>D</t>
        </is>
      </c>
      <c r="D106" s="25" t="inlineStr">
        <is>
          <t>Stati Uniti</t>
        </is>
      </c>
      <c r="E106" s="25" t="inlineStr">
        <is>
          <t>Turchia</t>
        </is>
      </c>
      <c r="F106" s="29" t="n">
        <v>2.25</v>
      </c>
      <c r="G106" s="26">
        <f>IFERROR(INDEX(Classifiche!$L$4:$L$51,MATCH(D106,Classifiche!$B$4:$B$51,0)),"")</f>
        <v/>
      </c>
      <c r="H106" s="26">
        <f>IFERROR(INDEX(Classifiche!$L$4:$L$51,MATCH(E106,Classifiche!$B$4:$B$51,0)),"")</f>
        <v/>
      </c>
      <c r="I106" s="26">
        <f>IFERROR(INDEX(Classifiche!$M$4:$M$51,MATCH(D106,Classifiche!$B$4:$B$51,0)),FALSE)</f>
        <v/>
      </c>
      <c r="J106" s="26">
        <f>IFERROR(INDEX(Classifiche!$M$4:$M$51,MATCH(E106,Classifiche!$B$4:$B$51,0)),FALSE)</f>
        <v/>
      </c>
      <c r="K106" s="26">
        <f>IFERROR(INDEX(Classifiche!$O$4:$O$51,MATCH(D106,Classifiche!$B$4:$B$51,0)),FALSE)</f>
        <v/>
      </c>
      <c r="L106" s="26">
        <f>IFERROR(INDEX(Classifiche!$O$4:$O$51,MATCH(E106,Classifiche!$B$4:$B$51,0)),FALSE)</f>
        <v/>
      </c>
      <c r="M106" s="26">
        <f>IFERROR(INDEX(Classifiche!$V$4:$V$15,MATCH(C106,Classifiche!$U$4:$U$15,0)),FALSE)</f>
        <v/>
      </c>
      <c r="N106" s="26">
        <f>AND(I106,J106)</f>
        <v/>
      </c>
      <c r="O106" s="25">
        <f>IF(N106,IF(M106,"VINTA (def.)","In vincita"),IF(OR(K106,L106,M106),"PERSA (def.)","In perdita"))</f>
        <v/>
      </c>
      <c r="P106" s="26">
        <f>IF(OR(AND(N106,M106),AND(NOT(N106),OR(K106,L106,M106))),"SI","NO")</f>
        <v/>
      </c>
      <c r="Q106">
        <f>IF(N106,1,0)</f>
        <v/>
      </c>
      <c r="R106">
        <f>IF(OR(K106,L106,AND(M106,NOT(N106))),1,0)</f>
        <v/>
      </c>
      <c r="S106">
        <f>IF(N106,IF(M106,2,1),IF(OR(K106,L106,M106),-2,-1))</f>
        <v/>
      </c>
    </row>
    <row r="107">
      <c r="A107" s="26" t="n">
        <v>7</v>
      </c>
      <c r="B107" s="26" t="n">
        <v>7</v>
      </c>
      <c r="C107" s="26" t="inlineStr">
        <is>
          <t>D</t>
        </is>
      </c>
      <c r="D107" s="25" t="inlineStr">
        <is>
          <t>Stati Uniti</t>
        </is>
      </c>
      <c r="E107" s="25" t="inlineStr">
        <is>
          <t>Paraguay</t>
        </is>
      </c>
      <c r="F107" s="29" t="n">
        <v>3.5</v>
      </c>
      <c r="G107" s="26">
        <f>IFERROR(INDEX(Classifiche!$L$4:$L$51,MATCH(D107,Classifiche!$B$4:$B$51,0)),"")</f>
        <v/>
      </c>
      <c r="H107" s="26">
        <f>IFERROR(INDEX(Classifiche!$L$4:$L$51,MATCH(E107,Classifiche!$B$4:$B$51,0)),"")</f>
        <v/>
      </c>
      <c r="I107" s="26">
        <f>IFERROR(INDEX(Classifiche!$M$4:$M$51,MATCH(D107,Classifiche!$B$4:$B$51,0)),FALSE)</f>
        <v/>
      </c>
      <c r="J107" s="26">
        <f>IFERROR(INDEX(Classifiche!$M$4:$M$51,MATCH(E107,Classifiche!$B$4:$B$51,0)),FALSE)</f>
        <v/>
      </c>
      <c r="K107" s="26">
        <f>IFERROR(INDEX(Classifiche!$O$4:$O$51,MATCH(D107,Classifiche!$B$4:$B$51,0)),FALSE)</f>
        <v/>
      </c>
      <c r="L107" s="26">
        <f>IFERROR(INDEX(Classifiche!$O$4:$O$51,MATCH(E107,Classifiche!$B$4:$B$51,0)),FALSE)</f>
        <v/>
      </c>
      <c r="M107" s="26">
        <f>IFERROR(INDEX(Classifiche!$V$4:$V$15,MATCH(C107,Classifiche!$U$4:$U$15,0)),FALSE)</f>
        <v/>
      </c>
      <c r="N107" s="26">
        <f>AND(I107,J107)</f>
        <v/>
      </c>
      <c r="O107" s="25">
        <f>IF(N107,IF(M107,"VINTA (def.)","In vincita"),IF(OR(K107,L107,M107),"PERSA (def.)","In perdita"))</f>
        <v/>
      </c>
      <c r="P107" s="26">
        <f>IF(OR(AND(N107,M107),AND(NOT(N107),OR(K107,L107,M107))),"SI","NO")</f>
        <v/>
      </c>
      <c r="Q107">
        <f>IF(N107,1,0)</f>
        <v/>
      </c>
      <c r="R107">
        <f>IF(OR(K107,L107,AND(M107,NOT(N107))),1,0)</f>
        <v/>
      </c>
      <c r="S107">
        <f>IF(N107,IF(M107,2,1),IF(OR(K107,L107,M107),-2,-1))</f>
        <v/>
      </c>
    </row>
    <row r="108">
      <c r="A108" s="26" t="n">
        <v>7</v>
      </c>
      <c r="B108" s="26" t="n">
        <v>8</v>
      </c>
      <c r="C108" s="26" t="inlineStr">
        <is>
          <t>D</t>
        </is>
      </c>
      <c r="D108" s="25" t="inlineStr">
        <is>
          <t>Turchia</t>
        </is>
      </c>
      <c r="E108" s="25" t="inlineStr">
        <is>
          <t>Paraguay</t>
        </is>
      </c>
      <c r="F108" s="29" t="n">
        <v>4.5</v>
      </c>
      <c r="G108" s="26">
        <f>IFERROR(INDEX(Classifiche!$L$4:$L$51,MATCH(D108,Classifiche!$B$4:$B$51,0)),"")</f>
        <v/>
      </c>
      <c r="H108" s="26">
        <f>IFERROR(INDEX(Classifiche!$L$4:$L$51,MATCH(E108,Classifiche!$B$4:$B$51,0)),"")</f>
        <v/>
      </c>
      <c r="I108" s="26">
        <f>IFERROR(INDEX(Classifiche!$M$4:$M$51,MATCH(D108,Classifiche!$B$4:$B$51,0)),FALSE)</f>
        <v/>
      </c>
      <c r="J108" s="26">
        <f>IFERROR(INDEX(Classifiche!$M$4:$M$51,MATCH(E108,Classifiche!$B$4:$B$51,0)),FALSE)</f>
        <v/>
      </c>
      <c r="K108" s="26">
        <f>IFERROR(INDEX(Classifiche!$O$4:$O$51,MATCH(D108,Classifiche!$B$4:$B$51,0)),FALSE)</f>
        <v/>
      </c>
      <c r="L108" s="26">
        <f>IFERROR(INDEX(Classifiche!$O$4:$O$51,MATCH(E108,Classifiche!$B$4:$B$51,0)),FALSE)</f>
        <v/>
      </c>
      <c r="M108" s="26">
        <f>IFERROR(INDEX(Classifiche!$V$4:$V$15,MATCH(C108,Classifiche!$U$4:$U$15,0)),FALSE)</f>
        <v/>
      </c>
      <c r="N108" s="26">
        <f>AND(I108,J108)</f>
        <v/>
      </c>
      <c r="O108" s="25">
        <f>IF(N108,IF(M108,"VINTA (def.)","In vincita"),IF(OR(K108,L108,M108),"PERSA (def.)","In perdita"))</f>
        <v/>
      </c>
      <c r="P108" s="26">
        <f>IF(OR(AND(N108,M108),AND(NOT(N108),OR(K108,L108,M108))),"SI","NO")</f>
        <v/>
      </c>
      <c r="Q108">
        <f>IF(N108,1,0)</f>
        <v/>
      </c>
      <c r="R108">
        <f>IF(OR(K108,L108,AND(M108,NOT(N108))),1,0)</f>
        <v/>
      </c>
      <c r="S108">
        <f>IF(N108,IF(M108,2,1),IF(OR(K108,L108,M108),-2,-1))</f>
        <v/>
      </c>
    </row>
    <row r="109">
      <c r="A109" s="26" t="n">
        <v>7</v>
      </c>
      <c r="B109" s="26" t="n">
        <v>9</v>
      </c>
      <c r="C109" s="26" t="inlineStr">
        <is>
          <t>I</t>
        </is>
      </c>
      <c r="D109" s="25" t="inlineStr">
        <is>
          <t>Francia</t>
        </is>
      </c>
      <c r="E109" s="25" t="inlineStr">
        <is>
          <t>Norvegia</t>
        </is>
      </c>
      <c r="F109" s="29" t="n">
        <v>1.55</v>
      </c>
      <c r="G109" s="26">
        <f>IFERROR(INDEX(Classifiche!$L$4:$L$51,MATCH(D109,Classifiche!$B$4:$B$51,0)),"")</f>
        <v/>
      </c>
      <c r="H109" s="26">
        <f>IFERROR(INDEX(Classifiche!$L$4:$L$51,MATCH(E109,Classifiche!$B$4:$B$51,0)),"")</f>
        <v/>
      </c>
      <c r="I109" s="26">
        <f>IFERROR(INDEX(Classifiche!$M$4:$M$51,MATCH(D109,Classifiche!$B$4:$B$51,0)),FALSE)</f>
        <v/>
      </c>
      <c r="J109" s="26">
        <f>IFERROR(INDEX(Classifiche!$M$4:$M$51,MATCH(E109,Classifiche!$B$4:$B$51,0)),FALSE)</f>
        <v/>
      </c>
      <c r="K109" s="26">
        <f>IFERROR(INDEX(Classifiche!$O$4:$O$51,MATCH(D109,Classifiche!$B$4:$B$51,0)),FALSE)</f>
        <v/>
      </c>
      <c r="L109" s="26">
        <f>IFERROR(INDEX(Classifiche!$O$4:$O$51,MATCH(E109,Classifiche!$B$4:$B$51,0)),FALSE)</f>
        <v/>
      </c>
      <c r="M109" s="26">
        <f>IFERROR(INDEX(Classifiche!$V$4:$V$15,MATCH(C109,Classifiche!$U$4:$U$15,0)),FALSE)</f>
        <v/>
      </c>
      <c r="N109" s="26">
        <f>AND(I109,J109)</f>
        <v/>
      </c>
      <c r="O109" s="25">
        <f>IF(N109,IF(M109,"VINTA (def.)","In vincita"),IF(OR(K109,L109,M109),"PERSA (def.)","In perdita"))</f>
        <v/>
      </c>
      <c r="P109" s="26">
        <f>IF(OR(AND(N109,M109),AND(NOT(N109),OR(K109,L109,M109))),"SI","NO")</f>
        <v/>
      </c>
      <c r="Q109">
        <f>IF(N109,1,0)</f>
        <v/>
      </c>
      <c r="R109">
        <f>IF(OR(K109,L109,AND(M109,NOT(N109))),1,0)</f>
        <v/>
      </c>
      <c r="S109">
        <f>IF(N109,IF(M109,2,1),IF(OR(K109,L109,M109),-2,-1))</f>
        <v/>
      </c>
    </row>
    <row r="110">
      <c r="A110" s="26" t="n">
        <v>7</v>
      </c>
      <c r="B110" s="26" t="n">
        <v>10</v>
      </c>
      <c r="C110" s="26" t="inlineStr">
        <is>
          <t>H</t>
        </is>
      </c>
      <c r="D110" s="25" t="inlineStr">
        <is>
          <t>Spagna</t>
        </is>
      </c>
      <c r="E110" s="25" t="inlineStr">
        <is>
          <t>Arabia Saudita</t>
        </is>
      </c>
      <c r="F110" s="29" t="n">
        <v>3.5</v>
      </c>
      <c r="G110" s="26">
        <f>IFERROR(INDEX(Classifiche!$L$4:$L$51,MATCH(D110,Classifiche!$B$4:$B$51,0)),"")</f>
        <v/>
      </c>
      <c r="H110" s="26">
        <f>IFERROR(INDEX(Classifiche!$L$4:$L$51,MATCH(E110,Classifiche!$B$4:$B$51,0)),"")</f>
        <v/>
      </c>
      <c r="I110" s="26">
        <f>IFERROR(INDEX(Classifiche!$M$4:$M$51,MATCH(D110,Classifiche!$B$4:$B$51,0)),FALSE)</f>
        <v/>
      </c>
      <c r="J110" s="26">
        <f>IFERROR(INDEX(Classifiche!$M$4:$M$51,MATCH(E110,Classifiche!$B$4:$B$51,0)),FALSE)</f>
        <v/>
      </c>
      <c r="K110" s="26">
        <f>IFERROR(INDEX(Classifiche!$O$4:$O$51,MATCH(D110,Classifiche!$B$4:$B$51,0)),FALSE)</f>
        <v/>
      </c>
      <c r="L110" s="26">
        <f>IFERROR(INDEX(Classifiche!$O$4:$O$51,MATCH(E110,Classifiche!$B$4:$B$51,0)),FALSE)</f>
        <v/>
      </c>
      <c r="M110" s="26">
        <f>IFERROR(INDEX(Classifiche!$V$4:$V$15,MATCH(C110,Classifiche!$U$4:$U$15,0)),FALSE)</f>
        <v/>
      </c>
      <c r="N110" s="26">
        <f>AND(I110,J110)</f>
        <v/>
      </c>
      <c r="O110" s="25">
        <f>IF(N110,IF(M110,"VINTA (def.)","In vincita"),IF(OR(K110,L110,M110),"PERSA (def.)","In perdita"))</f>
        <v/>
      </c>
      <c r="P110" s="26">
        <f>IF(OR(AND(N110,M110),AND(NOT(N110),OR(K110,L110,M110))),"SI","NO")</f>
        <v/>
      </c>
      <c r="Q110">
        <f>IF(N110,1,0)</f>
        <v/>
      </c>
      <c r="R110">
        <f>IF(OR(K110,L110,AND(M110,NOT(N110))),1,0)</f>
        <v/>
      </c>
      <c r="S110">
        <f>IF(N110,IF(M110,2,1),IF(OR(K110,L110,M110),-2,-1))</f>
        <v/>
      </c>
    </row>
    <row r="111">
      <c r="A111" s="26" t="n">
        <v>7</v>
      </c>
      <c r="B111" s="26" t="n">
        <v>11</v>
      </c>
      <c r="C111" s="26" t="inlineStr">
        <is>
          <t>G</t>
        </is>
      </c>
      <c r="D111" s="25" t="inlineStr">
        <is>
          <t>Belgio</t>
        </is>
      </c>
      <c r="E111" s="25" t="inlineStr">
        <is>
          <t>Egitto</t>
        </is>
      </c>
      <c r="F111" s="29" t="n">
        <v>1.85</v>
      </c>
      <c r="G111" s="26">
        <f>IFERROR(INDEX(Classifiche!$L$4:$L$51,MATCH(D111,Classifiche!$B$4:$B$51,0)),"")</f>
        <v/>
      </c>
      <c r="H111" s="26">
        <f>IFERROR(INDEX(Classifiche!$L$4:$L$51,MATCH(E111,Classifiche!$B$4:$B$51,0)),"")</f>
        <v/>
      </c>
      <c r="I111" s="26">
        <f>IFERROR(INDEX(Classifiche!$M$4:$M$51,MATCH(D111,Classifiche!$B$4:$B$51,0)),FALSE)</f>
        <v/>
      </c>
      <c r="J111" s="26">
        <f>IFERROR(INDEX(Classifiche!$M$4:$M$51,MATCH(E111,Classifiche!$B$4:$B$51,0)),FALSE)</f>
        <v/>
      </c>
      <c r="K111" s="26">
        <f>IFERROR(INDEX(Classifiche!$O$4:$O$51,MATCH(D111,Classifiche!$B$4:$B$51,0)),FALSE)</f>
        <v/>
      </c>
      <c r="L111" s="26">
        <f>IFERROR(INDEX(Classifiche!$O$4:$O$51,MATCH(E111,Classifiche!$B$4:$B$51,0)),FALSE)</f>
        <v/>
      </c>
      <c r="M111" s="26">
        <f>IFERROR(INDEX(Classifiche!$V$4:$V$15,MATCH(C111,Classifiche!$U$4:$U$15,0)),FALSE)</f>
        <v/>
      </c>
      <c r="N111" s="26">
        <f>AND(I111,J111)</f>
        <v/>
      </c>
      <c r="O111" s="25">
        <f>IF(N111,IF(M111,"VINTA (def.)","In vincita"),IF(OR(K111,L111,M111),"PERSA (def.)","In perdita"))</f>
        <v/>
      </c>
      <c r="P111" s="26">
        <f>IF(OR(AND(N111,M111),AND(NOT(N111),OR(K111,L111,M111))),"SI","NO")</f>
        <v/>
      </c>
      <c r="Q111">
        <f>IF(N111,1,0)</f>
        <v/>
      </c>
      <c r="R111">
        <f>IF(OR(K111,L111,AND(M111,NOT(N111))),1,0)</f>
        <v/>
      </c>
      <c r="S111">
        <f>IF(N111,IF(M111,2,1),IF(OR(K111,L111,M111),-2,-1))</f>
        <v/>
      </c>
    </row>
    <row r="112">
      <c r="A112" s="26" t="n">
        <v>7</v>
      </c>
      <c r="B112" s="26" t="n">
        <v>12</v>
      </c>
      <c r="C112" s="26" t="inlineStr">
        <is>
          <t>G</t>
        </is>
      </c>
      <c r="D112" s="25" t="inlineStr">
        <is>
          <t>Belgio</t>
        </is>
      </c>
      <c r="E112" s="25" t="inlineStr">
        <is>
          <t>Iran</t>
        </is>
      </c>
      <c r="F112" s="29" t="n">
        <v>2.5</v>
      </c>
      <c r="G112" s="26">
        <f>IFERROR(INDEX(Classifiche!$L$4:$L$51,MATCH(D112,Classifiche!$B$4:$B$51,0)),"")</f>
        <v/>
      </c>
      <c r="H112" s="26">
        <f>IFERROR(INDEX(Classifiche!$L$4:$L$51,MATCH(E112,Classifiche!$B$4:$B$51,0)),"")</f>
        <v/>
      </c>
      <c r="I112" s="26">
        <f>IFERROR(INDEX(Classifiche!$M$4:$M$51,MATCH(D112,Classifiche!$B$4:$B$51,0)),FALSE)</f>
        <v/>
      </c>
      <c r="J112" s="26">
        <f>IFERROR(INDEX(Classifiche!$M$4:$M$51,MATCH(E112,Classifiche!$B$4:$B$51,0)),FALSE)</f>
        <v/>
      </c>
      <c r="K112" s="26">
        <f>IFERROR(INDEX(Classifiche!$O$4:$O$51,MATCH(D112,Classifiche!$B$4:$B$51,0)),FALSE)</f>
        <v/>
      </c>
      <c r="L112" s="26">
        <f>IFERROR(INDEX(Classifiche!$O$4:$O$51,MATCH(E112,Classifiche!$B$4:$B$51,0)),FALSE)</f>
        <v/>
      </c>
      <c r="M112" s="26">
        <f>IFERROR(INDEX(Classifiche!$V$4:$V$15,MATCH(C112,Classifiche!$U$4:$U$15,0)),FALSE)</f>
        <v/>
      </c>
      <c r="N112" s="26">
        <f>AND(I112,J112)</f>
        <v/>
      </c>
      <c r="O112" s="25">
        <f>IF(N112,IF(M112,"VINTA (def.)","In vincita"),IF(OR(K112,L112,M112),"PERSA (def.)","In perdita"))</f>
        <v/>
      </c>
      <c r="P112" s="26">
        <f>IF(OR(AND(N112,M112),AND(NOT(N112),OR(K112,L112,M112))),"SI","NO")</f>
        <v/>
      </c>
      <c r="Q112">
        <f>IF(N112,1,0)</f>
        <v/>
      </c>
      <c r="R112">
        <f>IF(OR(K112,L112,AND(M112,NOT(N112))),1,0)</f>
        <v/>
      </c>
      <c r="S112">
        <f>IF(N112,IF(M112,2,1),IF(OR(K112,L112,M112),-2,-1))</f>
        <v/>
      </c>
    </row>
    <row r="113">
      <c r="A113" s="26" t="n">
        <v>7</v>
      </c>
      <c r="B113" s="26" t="n">
        <v>13</v>
      </c>
      <c r="C113" s="26" t="inlineStr">
        <is>
          <t>G</t>
        </is>
      </c>
      <c r="D113" s="25" t="inlineStr">
        <is>
          <t>Belgio</t>
        </is>
      </c>
      <c r="E113" s="25" t="inlineStr">
        <is>
          <t>Nuova Zelanda</t>
        </is>
      </c>
      <c r="F113" s="29" t="n">
        <v>7.5</v>
      </c>
      <c r="G113" s="26">
        <f>IFERROR(INDEX(Classifiche!$L$4:$L$51,MATCH(D113,Classifiche!$B$4:$B$51,0)),"")</f>
        <v/>
      </c>
      <c r="H113" s="26">
        <f>IFERROR(INDEX(Classifiche!$L$4:$L$51,MATCH(E113,Classifiche!$B$4:$B$51,0)),"")</f>
        <v/>
      </c>
      <c r="I113" s="26">
        <f>IFERROR(INDEX(Classifiche!$M$4:$M$51,MATCH(D113,Classifiche!$B$4:$B$51,0)),FALSE)</f>
        <v/>
      </c>
      <c r="J113" s="26">
        <f>IFERROR(INDEX(Classifiche!$M$4:$M$51,MATCH(E113,Classifiche!$B$4:$B$51,0)),FALSE)</f>
        <v/>
      </c>
      <c r="K113" s="26">
        <f>IFERROR(INDEX(Classifiche!$O$4:$O$51,MATCH(D113,Classifiche!$B$4:$B$51,0)),FALSE)</f>
        <v/>
      </c>
      <c r="L113" s="26">
        <f>IFERROR(INDEX(Classifiche!$O$4:$O$51,MATCH(E113,Classifiche!$B$4:$B$51,0)),FALSE)</f>
        <v/>
      </c>
      <c r="M113" s="26">
        <f>IFERROR(INDEX(Classifiche!$V$4:$V$15,MATCH(C113,Classifiche!$U$4:$U$15,0)),FALSE)</f>
        <v/>
      </c>
      <c r="N113" s="26">
        <f>AND(I113,J113)</f>
        <v/>
      </c>
      <c r="O113" s="25">
        <f>IF(N113,IF(M113,"VINTA (def.)","In vincita"),IF(OR(K113,L113,M113),"PERSA (def.)","In perdita"))</f>
        <v/>
      </c>
      <c r="P113" s="26">
        <f>IF(OR(AND(N113,M113),AND(NOT(N113),OR(K113,L113,M113))),"SI","NO")</f>
        <v/>
      </c>
      <c r="Q113">
        <f>IF(N113,1,0)</f>
        <v/>
      </c>
      <c r="R113">
        <f>IF(OR(K113,L113,AND(M113,NOT(N113))),1,0)</f>
        <v/>
      </c>
      <c r="S113">
        <f>IF(N113,IF(M113,2,1),IF(OR(K113,L113,M113),-2,-1))</f>
        <v/>
      </c>
    </row>
    <row r="114">
      <c r="A114" s="26" t="n">
        <v>7</v>
      </c>
      <c r="B114" s="26" t="n">
        <v>14</v>
      </c>
      <c r="C114" s="26" t="inlineStr">
        <is>
          <t>L</t>
        </is>
      </c>
      <c r="D114" s="25" t="inlineStr">
        <is>
          <t>Inghilterra</t>
        </is>
      </c>
      <c r="E114" s="25" t="inlineStr">
        <is>
          <t>Croazia</t>
        </is>
      </c>
      <c r="F114" s="29" t="n">
        <v>1.35</v>
      </c>
      <c r="G114" s="26">
        <f>IFERROR(INDEX(Classifiche!$L$4:$L$51,MATCH(D114,Classifiche!$B$4:$B$51,0)),"")</f>
        <v/>
      </c>
      <c r="H114" s="26">
        <f>IFERROR(INDEX(Classifiche!$L$4:$L$51,MATCH(E114,Classifiche!$B$4:$B$51,0)),"")</f>
        <v/>
      </c>
      <c r="I114" s="26">
        <f>IFERROR(INDEX(Classifiche!$M$4:$M$51,MATCH(D114,Classifiche!$B$4:$B$51,0)),FALSE)</f>
        <v/>
      </c>
      <c r="J114" s="26">
        <f>IFERROR(INDEX(Classifiche!$M$4:$M$51,MATCH(E114,Classifiche!$B$4:$B$51,0)),FALSE)</f>
        <v/>
      </c>
      <c r="K114" s="26">
        <f>IFERROR(INDEX(Classifiche!$O$4:$O$51,MATCH(D114,Classifiche!$B$4:$B$51,0)),FALSE)</f>
        <v/>
      </c>
      <c r="L114" s="26">
        <f>IFERROR(INDEX(Classifiche!$O$4:$O$51,MATCH(E114,Classifiche!$B$4:$B$51,0)),FALSE)</f>
        <v/>
      </c>
      <c r="M114" s="26">
        <f>IFERROR(INDEX(Classifiche!$V$4:$V$15,MATCH(C114,Classifiche!$U$4:$U$15,0)),FALSE)</f>
        <v/>
      </c>
      <c r="N114" s="26">
        <f>AND(I114,J114)</f>
        <v/>
      </c>
      <c r="O114" s="25">
        <f>IF(N114,IF(M114,"VINTA (def.)","In vincita"),IF(OR(K114,L114,M114),"PERSA (def.)","In perdita"))</f>
        <v/>
      </c>
      <c r="P114" s="26">
        <f>IF(OR(AND(N114,M114),AND(NOT(N114),OR(K114,L114,M114))),"SI","NO")</f>
        <v/>
      </c>
      <c r="Q114">
        <f>IF(N114,1,0)</f>
        <v/>
      </c>
      <c r="R114">
        <f>IF(OR(K114,L114,AND(M114,NOT(N114))),1,0)</f>
        <v/>
      </c>
      <c r="S114">
        <f>IF(N114,IF(M114,2,1),IF(OR(K114,L114,M114),-2,-1))</f>
        <v/>
      </c>
    </row>
    <row r="115">
      <c r="A115" s="26" t="n">
        <v>7</v>
      </c>
      <c r="B115" s="26" t="n">
        <v>15</v>
      </c>
      <c r="C115" s="26" t="inlineStr">
        <is>
          <t>K</t>
        </is>
      </c>
      <c r="D115" s="25" t="inlineStr">
        <is>
          <t>Portogallo</t>
        </is>
      </c>
      <c r="E115" s="25" t="inlineStr">
        <is>
          <t>Colombia</t>
        </is>
      </c>
      <c r="F115" s="29" t="n">
        <v>1.25</v>
      </c>
      <c r="G115" s="26">
        <f>IFERROR(INDEX(Classifiche!$L$4:$L$51,MATCH(D115,Classifiche!$B$4:$B$51,0)),"")</f>
        <v/>
      </c>
      <c r="H115" s="26">
        <f>IFERROR(INDEX(Classifiche!$L$4:$L$51,MATCH(E115,Classifiche!$B$4:$B$51,0)),"")</f>
        <v/>
      </c>
      <c r="I115" s="26">
        <f>IFERROR(INDEX(Classifiche!$M$4:$M$51,MATCH(D115,Classifiche!$B$4:$B$51,0)),FALSE)</f>
        <v/>
      </c>
      <c r="J115" s="26">
        <f>IFERROR(INDEX(Classifiche!$M$4:$M$51,MATCH(E115,Classifiche!$B$4:$B$51,0)),FALSE)</f>
        <v/>
      </c>
      <c r="K115" s="26">
        <f>IFERROR(INDEX(Classifiche!$O$4:$O$51,MATCH(D115,Classifiche!$B$4:$B$51,0)),FALSE)</f>
        <v/>
      </c>
      <c r="L115" s="26">
        <f>IFERROR(INDEX(Classifiche!$O$4:$O$51,MATCH(E115,Classifiche!$B$4:$B$51,0)),FALSE)</f>
        <v/>
      </c>
      <c r="M115" s="26">
        <f>IFERROR(INDEX(Classifiche!$V$4:$V$15,MATCH(C115,Classifiche!$U$4:$U$15,0)),FALSE)</f>
        <v/>
      </c>
      <c r="N115" s="26">
        <f>AND(I115,J115)</f>
        <v/>
      </c>
      <c r="O115" s="25">
        <f>IF(N115,IF(M115,"VINTA (def.)","In vincita"),IF(OR(K115,L115,M115),"PERSA (def.)","In perdita"))</f>
        <v/>
      </c>
      <c r="P115" s="26">
        <f>IF(OR(AND(N115,M115),AND(NOT(N115),OR(K115,L115,M115))),"SI","NO")</f>
        <v/>
      </c>
      <c r="Q115">
        <f>IF(N115,1,0)</f>
        <v/>
      </c>
      <c r="R115">
        <f>IF(OR(K115,L115,AND(M115,NOT(N115))),1,0)</f>
        <v/>
      </c>
      <c r="S115">
        <f>IF(N115,IF(M115,2,1),IF(OR(K115,L115,M115),-2,-1))</f>
        <v/>
      </c>
    </row>
    <row r="116">
      <c r="A116" s="26" t="n">
        <v>7</v>
      </c>
      <c r="B116" s="26" t="n">
        <v>16</v>
      </c>
      <c r="C116" s="26" t="inlineStr">
        <is>
          <t>K</t>
        </is>
      </c>
      <c r="D116" s="25" t="inlineStr">
        <is>
          <t>Portogallo</t>
        </is>
      </c>
      <c r="E116" s="25" t="inlineStr">
        <is>
          <t>Rd Congo</t>
        </is>
      </c>
      <c r="F116" s="29" t="n">
        <v>4.5</v>
      </c>
      <c r="G116" s="26">
        <f>IFERROR(INDEX(Classifiche!$L$4:$L$51,MATCH(D116,Classifiche!$B$4:$B$51,0)),"")</f>
        <v/>
      </c>
      <c r="H116" s="26">
        <f>IFERROR(INDEX(Classifiche!$L$4:$L$51,MATCH(E116,Classifiche!$B$4:$B$51,0)),"")</f>
        <v/>
      </c>
      <c r="I116" s="26">
        <f>IFERROR(INDEX(Classifiche!$M$4:$M$51,MATCH(D116,Classifiche!$B$4:$B$51,0)),FALSE)</f>
        <v/>
      </c>
      <c r="J116" s="26">
        <f>IFERROR(INDEX(Classifiche!$M$4:$M$51,MATCH(E116,Classifiche!$B$4:$B$51,0)),FALSE)</f>
        <v/>
      </c>
      <c r="K116" s="26">
        <f>IFERROR(INDEX(Classifiche!$O$4:$O$51,MATCH(D116,Classifiche!$B$4:$B$51,0)),FALSE)</f>
        <v/>
      </c>
      <c r="L116" s="26">
        <f>IFERROR(INDEX(Classifiche!$O$4:$O$51,MATCH(E116,Classifiche!$B$4:$B$51,0)),FALSE)</f>
        <v/>
      </c>
      <c r="M116" s="26">
        <f>IFERROR(INDEX(Classifiche!$V$4:$V$15,MATCH(C116,Classifiche!$U$4:$U$15,0)),FALSE)</f>
        <v/>
      </c>
      <c r="N116" s="26">
        <f>AND(I116,J116)</f>
        <v/>
      </c>
      <c r="O116" s="25">
        <f>IF(N116,IF(M116,"VINTA (def.)","In vincita"),IF(OR(K116,L116,M116),"PERSA (def.)","In perdita"))</f>
        <v/>
      </c>
      <c r="P116" s="26">
        <f>IF(OR(AND(N116,M116),AND(NOT(N116),OR(K116,L116,M116))),"SI","NO")</f>
        <v/>
      </c>
      <c r="Q116">
        <f>IF(N116,1,0)</f>
        <v/>
      </c>
      <c r="R116">
        <f>IF(OR(K116,L116,AND(M116,NOT(N116))),1,0)</f>
        <v/>
      </c>
      <c r="S116">
        <f>IF(N116,IF(M116,2,1),IF(OR(K116,L116,M116),-2,-1))</f>
        <v/>
      </c>
    </row>
    <row r="117">
      <c r="A117" s="26" t="n">
        <v>7</v>
      </c>
      <c r="B117" s="26" t="n">
        <v>17</v>
      </c>
      <c r="C117" s="26" t="inlineStr">
        <is>
          <t>J</t>
        </is>
      </c>
      <c r="D117" s="25" t="inlineStr">
        <is>
          <t>Argentina</t>
        </is>
      </c>
      <c r="E117" s="25" t="inlineStr">
        <is>
          <t>Austria</t>
        </is>
      </c>
      <c r="F117" s="29" t="n">
        <v>1.6</v>
      </c>
      <c r="G117" s="26">
        <f>IFERROR(INDEX(Classifiche!$L$4:$L$51,MATCH(D117,Classifiche!$B$4:$B$51,0)),"")</f>
        <v/>
      </c>
      <c r="H117" s="26">
        <f>IFERROR(INDEX(Classifiche!$L$4:$L$51,MATCH(E117,Classifiche!$B$4:$B$51,0)),"")</f>
        <v/>
      </c>
      <c r="I117" s="26">
        <f>IFERROR(INDEX(Classifiche!$M$4:$M$51,MATCH(D117,Classifiche!$B$4:$B$51,0)),FALSE)</f>
        <v/>
      </c>
      <c r="J117" s="26">
        <f>IFERROR(INDEX(Classifiche!$M$4:$M$51,MATCH(E117,Classifiche!$B$4:$B$51,0)),FALSE)</f>
        <v/>
      </c>
      <c r="K117" s="26">
        <f>IFERROR(INDEX(Classifiche!$O$4:$O$51,MATCH(D117,Classifiche!$B$4:$B$51,0)),FALSE)</f>
        <v/>
      </c>
      <c r="L117" s="26">
        <f>IFERROR(INDEX(Classifiche!$O$4:$O$51,MATCH(E117,Classifiche!$B$4:$B$51,0)),FALSE)</f>
        <v/>
      </c>
      <c r="M117" s="26">
        <f>IFERROR(INDEX(Classifiche!$V$4:$V$15,MATCH(C117,Classifiche!$U$4:$U$15,0)),FALSE)</f>
        <v/>
      </c>
      <c r="N117" s="26">
        <f>AND(I117,J117)</f>
        <v/>
      </c>
      <c r="O117" s="25">
        <f>IF(N117,IF(M117,"VINTA (def.)","In vincita"),IF(OR(K117,L117,M117),"PERSA (def.)","In perdita"))</f>
        <v/>
      </c>
      <c r="P117" s="26">
        <f>IF(OR(AND(N117,M117),AND(NOT(N117),OR(K117,L117,M117))),"SI","NO")</f>
        <v/>
      </c>
      <c r="Q117">
        <f>IF(N117,1,0)</f>
        <v/>
      </c>
      <c r="R117">
        <f>IF(OR(K117,L117,AND(M117,NOT(N117))),1,0)</f>
        <v/>
      </c>
      <c r="S117">
        <f>IF(N117,IF(M117,2,1),IF(OR(K117,L117,M117),-2,-1))</f>
        <v/>
      </c>
    </row>
    <row r="118">
      <c r="A118" s="26" t="n">
        <v>8</v>
      </c>
      <c r="B118" s="26" t="n">
        <v>1</v>
      </c>
      <c r="C118" s="26" t="inlineStr">
        <is>
          <t>C</t>
        </is>
      </c>
      <c r="D118" s="25" t="inlineStr">
        <is>
          <t>Brasile</t>
        </is>
      </c>
      <c r="E118" s="25" t="inlineStr">
        <is>
          <t>Scozia</t>
        </is>
      </c>
      <c r="F118" s="29" t="n">
        <v>2.25</v>
      </c>
      <c r="G118" s="26">
        <f>IFERROR(INDEX(Classifiche!$L$4:$L$51,MATCH(D118,Classifiche!$B$4:$B$51,0)),"")</f>
        <v/>
      </c>
      <c r="H118" s="26">
        <f>IFERROR(INDEX(Classifiche!$L$4:$L$51,MATCH(E118,Classifiche!$B$4:$B$51,0)),"")</f>
        <v/>
      </c>
      <c r="I118" s="26">
        <f>IFERROR(INDEX(Classifiche!$M$4:$M$51,MATCH(D118,Classifiche!$B$4:$B$51,0)),FALSE)</f>
        <v/>
      </c>
      <c r="J118" s="26">
        <f>IFERROR(INDEX(Classifiche!$M$4:$M$51,MATCH(E118,Classifiche!$B$4:$B$51,0)),FALSE)</f>
        <v/>
      </c>
      <c r="K118" s="26">
        <f>IFERROR(INDEX(Classifiche!$O$4:$O$51,MATCH(D118,Classifiche!$B$4:$B$51,0)),FALSE)</f>
        <v/>
      </c>
      <c r="L118" s="26">
        <f>IFERROR(INDEX(Classifiche!$O$4:$O$51,MATCH(E118,Classifiche!$B$4:$B$51,0)),FALSE)</f>
        <v/>
      </c>
      <c r="M118" s="26">
        <f>IFERROR(INDEX(Classifiche!$V$4:$V$15,MATCH(C118,Classifiche!$U$4:$U$15,0)),FALSE)</f>
        <v/>
      </c>
      <c r="N118" s="26">
        <f>AND(I118,J118)</f>
        <v/>
      </c>
      <c r="O118" s="25">
        <f>IF(N118,IF(M118,"VINTA (def.)","In vincita"),IF(OR(K118,L118,M118),"PERSA (def.)","In perdita"))</f>
        <v/>
      </c>
      <c r="P118" s="26">
        <f>IF(OR(AND(N118,M118),AND(NOT(N118),OR(K118,L118,M118))),"SI","NO")</f>
        <v/>
      </c>
      <c r="Q118">
        <f>IF(N118,1,0)</f>
        <v/>
      </c>
      <c r="R118">
        <f>IF(OR(K118,L118,AND(M118,NOT(N118))),1,0)</f>
        <v/>
      </c>
      <c r="S118">
        <f>IF(N118,IF(M118,2,1),IF(OR(K118,L118,M118),-2,-1))</f>
        <v/>
      </c>
    </row>
    <row r="119">
      <c r="A119" s="26" t="n">
        <v>8</v>
      </c>
      <c r="B119" s="26" t="n">
        <v>2</v>
      </c>
      <c r="C119" s="26" t="inlineStr">
        <is>
          <t>E</t>
        </is>
      </c>
      <c r="D119" s="25" t="inlineStr">
        <is>
          <t>Germania</t>
        </is>
      </c>
      <c r="E119" s="25" t="inlineStr">
        <is>
          <t>Costa d'Avorio</t>
        </is>
      </c>
      <c r="F119" s="29" t="n">
        <v>2.25</v>
      </c>
      <c r="G119" s="26">
        <f>IFERROR(INDEX(Classifiche!$L$4:$L$51,MATCH(D119,Classifiche!$B$4:$B$51,0)),"")</f>
        <v/>
      </c>
      <c r="H119" s="26">
        <f>IFERROR(INDEX(Classifiche!$L$4:$L$51,MATCH(E119,Classifiche!$B$4:$B$51,0)),"")</f>
        <v/>
      </c>
      <c r="I119" s="26">
        <f>IFERROR(INDEX(Classifiche!$M$4:$M$51,MATCH(D119,Classifiche!$B$4:$B$51,0)),FALSE)</f>
        <v/>
      </c>
      <c r="J119" s="26">
        <f>IFERROR(INDEX(Classifiche!$M$4:$M$51,MATCH(E119,Classifiche!$B$4:$B$51,0)),FALSE)</f>
        <v/>
      </c>
      <c r="K119" s="26">
        <f>IFERROR(INDEX(Classifiche!$O$4:$O$51,MATCH(D119,Classifiche!$B$4:$B$51,0)),FALSE)</f>
        <v/>
      </c>
      <c r="L119" s="26">
        <f>IFERROR(INDEX(Classifiche!$O$4:$O$51,MATCH(E119,Classifiche!$B$4:$B$51,0)),FALSE)</f>
        <v/>
      </c>
      <c r="M119" s="26">
        <f>IFERROR(INDEX(Classifiche!$V$4:$V$15,MATCH(C119,Classifiche!$U$4:$U$15,0)),FALSE)</f>
        <v/>
      </c>
      <c r="N119" s="26">
        <f>AND(I119,J119)</f>
        <v/>
      </c>
      <c r="O119" s="25">
        <f>IF(N119,IF(M119,"VINTA (def.)","In vincita"),IF(OR(K119,L119,M119),"PERSA (def.)","In perdita"))</f>
        <v/>
      </c>
      <c r="P119" s="26">
        <f>IF(OR(AND(N119,M119),AND(NOT(N119),OR(K119,L119,M119))),"SI","NO")</f>
        <v/>
      </c>
      <c r="Q119">
        <f>IF(N119,1,0)</f>
        <v/>
      </c>
      <c r="R119">
        <f>IF(OR(K119,L119,AND(M119,NOT(N119))),1,0)</f>
        <v/>
      </c>
      <c r="S119">
        <f>IF(N119,IF(M119,2,1),IF(OR(K119,L119,M119),-2,-1))</f>
        <v/>
      </c>
    </row>
    <row r="120">
      <c r="A120" s="26" t="n">
        <v>8</v>
      </c>
      <c r="B120" s="26" t="n">
        <v>3</v>
      </c>
      <c r="C120" s="26" t="inlineStr">
        <is>
          <t>F</t>
        </is>
      </c>
      <c r="D120" s="25" t="inlineStr">
        <is>
          <t>Olanda</t>
        </is>
      </c>
      <c r="E120" s="25" t="inlineStr">
        <is>
          <t>Giappone</t>
        </is>
      </c>
      <c r="F120" s="29" t="n">
        <v>2.25</v>
      </c>
      <c r="G120" s="26">
        <f>IFERROR(INDEX(Classifiche!$L$4:$L$51,MATCH(D120,Classifiche!$B$4:$B$51,0)),"")</f>
        <v/>
      </c>
      <c r="H120" s="26">
        <f>IFERROR(INDEX(Classifiche!$L$4:$L$51,MATCH(E120,Classifiche!$B$4:$B$51,0)),"")</f>
        <v/>
      </c>
      <c r="I120" s="26">
        <f>IFERROR(INDEX(Classifiche!$M$4:$M$51,MATCH(D120,Classifiche!$B$4:$B$51,0)),FALSE)</f>
        <v/>
      </c>
      <c r="J120" s="26">
        <f>IFERROR(INDEX(Classifiche!$M$4:$M$51,MATCH(E120,Classifiche!$B$4:$B$51,0)),FALSE)</f>
        <v/>
      </c>
      <c r="K120" s="26">
        <f>IFERROR(INDEX(Classifiche!$O$4:$O$51,MATCH(D120,Classifiche!$B$4:$B$51,0)),FALSE)</f>
        <v/>
      </c>
      <c r="L120" s="26">
        <f>IFERROR(INDEX(Classifiche!$O$4:$O$51,MATCH(E120,Classifiche!$B$4:$B$51,0)),FALSE)</f>
        <v/>
      </c>
      <c r="M120" s="26">
        <f>IFERROR(INDEX(Classifiche!$V$4:$V$15,MATCH(C120,Classifiche!$U$4:$U$15,0)),FALSE)</f>
        <v/>
      </c>
      <c r="N120" s="26">
        <f>AND(I120,J120)</f>
        <v/>
      </c>
      <c r="O120" s="25">
        <f>IF(N120,IF(M120,"VINTA (def.)","In vincita"),IF(OR(K120,L120,M120),"PERSA (def.)","In perdita"))</f>
        <v/>
      </c>
      <c r="P120" s="26">
        <f>IF(OR(AND(N120,M120),AND(NOT(N120),OR(K120,L120,M120))),"SI","NO")</f>
        <v/>
      </c>
      <c r="Q120">
        <f>IF(N120,1,0)</f>
        <v/>
      </c>
      <c r="R120">
        <f>IF(OR(K120,L120,AND(M120,NOT(N120))),1,0)</f>
        <v/>
      </c>
      <c r="S120">
        <f>IF(N120,IF(M120,2,1),IF(OR(K120,L120,M120),-2,-1))</f>
        <v/>
      </c>
    </row>
    <row r="121">
      <c r="A121" s="26" t="n">
        <v>8</v>
      </c>
      <c r="B121" s="26" t="n">
        <v>4</v>
      </c>
      <c r="C121" s="26" t="inlineStr">
        <is>
          <t>F</t>
        </is>
      </c>
      <c r="D121" s="25" t="inlineStr">
        <is>
          <t>Olanda</t>
        </is>
      </c>
      <c r="E121" s="25" t="inlineStr">
        <is>
          <t>Svezia</t>
        </is>
      </c>
      <c r="F121" s="29" t="n">
        <v>2.75</v>
      </c>
      <c r="G121" s="26">
        <f>IFERROR(INDEX(Classifiche!$L$4:$L$51,MATCH(D121,Classifiche!$B$4:$B$51,0)),"")</f>
        <v/>
      </c>
      <c r="H121" s="26">
        <f>IFERROR(INDEX(Classifiche!$L$4:$L$51,MATCH(E121,Classifiche!$B$4:$B$51,0)),"")</f>
        <v/>
      </c>
      <c r="I121" s="26">
        <f>IFERROR(INDEX(Classifiche!$M$4:$M$51,MATCH(D121,Classifiche!$B$4:$B$51,0)),FALSE)</f>
        <v/>
      </c>
      <c r="J121" s="26">
        <f>IFERROR(INDEX(Classifiche!$M$4:$M$51,MATCH(E121,Classifiche!$B$4:$B$51,0)),FALSE)</f>
        <v/>
      </c>
      <c r="K121" s="26">
        <f>IFERROR(INDEX(Classifiche!$O$4:$O$51,MATCH(D121,Classifiche!$B$4:$B$51,0)),FALSE)</f>
        <v/>
      </c>
      <c r="L121" s="26">
        <f>IFERROR(INDEX(Classifiche!$O$4:$O$51,MATCH(E121,Classifiche!$B$4:$B$51,0)),FALSE)</f>
        <v/>
      </c>
      <c r="M121" s="26">
        <f>IFERROR(INDEX(Classifiche!$V$4:$V$15,MATCH(C121,Classifiche!$U$4:$U$15,0)),FALSE)</f>
        <v/>
      </c>
      <c r="N121" s="26">
        <f>AND(I121,J121)</f>
        <v/>
      </c>
      <c r="O121" s="25">
        <f>IF(N121,IF(M121,"VINTA (def.)","In vincita"),IF(OR(K121,L121,M121),"PERSA (def.)","In perdita"))</f>
        <v/>
      </c>
      <c r="P121" s="26">
        <f>IF(OR(AND(N121,M121),AND(NOT(N121),OR(K121,L121,M121))),"SI","NO")</f>
        <v/>
      </c>
      <c r="Q121">
        <f>IF(N121,1,0)</f>
        <v/>
      </c>
      <c r="R121">
        <f>IF(OR(K121,L121,AND(M121,NOT(N121))),1,0)</f>
        <v/>
      </c>
      <c r="S121">
        <f>IF(N121,IF(M121,2,1),IF(OR(K121,L121,M121),-2,-1))</f>
        <v/>
      </c>
    </row>
    <row r="122">
      <c r="A122" s="26" t="n">
        <v>8</v>
      </c>
      <c r="B122" s="26" t="n">
        <v>5</v>
      </c>
      <c r="C122" s="26" t="inlineStr">
        <is>
          <t>F</t>
        </is>
      </c>
      <c r="D122" s="25" t="inlineStr">
        <is>
          <t>Giappone</t>
        </is>
      </c>
      <c r="E122" s="25" t="inlineStr">
        <is>
          <t>Svezia</t>
        </is>
      </c>
      <c r="F122" s="29" t="n">
        <v>5</v>
      </c>
      <c r="G122" s="26">
        <f>IFERROR(INDEX(Classifiche!$L$4:$L$51,MATCH(D122,Classifiche!$B$4:$B$51,0)),"")</f>
        <v/>
      </c>
      <c r="H122" s="26">
        <f>IFERROR(INDEX(Classifiche!$L$4:$L$51,MATCH(E122,Classifiche!$B$4:$B$51,0)),"")</f>
        <v/>
      </c>
      <c r="I122" s="26">
        <f>IFERROR(INDEX(Classifiche!$M$4:$M$51,MATCH(D122,Classifiche!$B$4:$B$51,0)),FALSE)</f>
        <v/>
      </c>
      <c r="J122" s="26">
        <f>IFERROR(INDEX(Classifiche!$M$4:$M$51,MATCH(E122,Classifiche!$B$4:$B$51,0)),FALSE)</f>
        <v/>
      </c>
      <c r="K122" s="26">
        <f>IFERROR(INDEX(Classifiche!$O$4:$O$51,MATCH(D122,Classifiche!$B$4:$B$51,0)),FALSE)</f>
        <v/>
      </c>
      <c r="L122" s="26">
        <f>IFERROR(INDEX(Classifiche!$O$4:$O$51,MATCH(E122,Classifiche!$B$4:$B$51,0)),FALSE)</f>
        <v/>
      </c>
      <c r="M122" s="26">
        <f>IFERROR(INDEX(Classifiche!$V$4:$V$15,MATCH(C122,Classifiche!$U$4:$U$15,0)),FALSE)</f>
        <v/>
      </c>
      <c r="N122" s="26">
        <f>AND(I122,J122)</f>
        <v/>
      </c>
      <c r="O122" s="25">
        <f>IF(N122,IF(M122,"VINTA (def.)","In vincita"),IF(OR(K122,L122,M122),"PERSA (def.)","In perdita"))</f>
        <v/>
      </c>
      <c r="P122" s="26">
        <f>IF(OR(AND(N122,M122),AND(NOT(N122),OR(K122,L122,M122))),"SI","NO")</f>
        <v/>
      </c>
      <c r="Q122">
        <f>IF(N122,1,0)</f>
        <v/>
      </c>
      <c r="R122">
        <f>IF(OR(K122,L122,AND(M122,NOT(N122))),1,0)</f>
        <v/>
      </c>
      <c r="S122">
        <f>IF(N122,IF(M122,2,1),IF(OR(K122,L122,M122),-2,-1))</f>
        <v/>
      </c>
    </row>
    <row r="123">
      <c r="A123" s="26" t="n">
        <v>8</v>
      </c>
      <c r="B123" s="26" t="n">
        <v>6</v>
      </c>
      <c r="C123" s="26" t="inlineStr">
        <is>
          <t>D</t>
        </is>
      </c>
      <c r="D123" s="25" t="inlineStr">
        <is>
          <t>Stati Uniti</t>
        </is>
      </c>
      <c r="E123" s="25" t="inlineStr">
        <is>
          <t>Turchia</t>
        </is>
      </c>
      <c r="F123" s="29" t="n">
        <v>2.25</v>
      </c>
      <c r="G123" s="26">
        <f>IFERROR(INDEX(Classifiche!$L$4:$L$51,MATCH(D123,Classifiche!$B$4:$B$51,0)),"")</f>
        <v/>
      </c>
      <c r="H123" s="26">
        <f>IFERROR(INDEX(Classifiche!$L$4:$L$51,MATCH(E123,Classifiche!$B$4:$B$51,0)),"")</f>
        <v/>
      </c>
      <c r="I123" s="26">
        <f>IFERROR(INDEX(Classifiche!$M$4:$M$51,MATCH(D123,Classifiche!$B$4:$B$51,0)),FALSE)</f>
        <v/>
      </c>
      <c r="J123" s="26">
        <f>IFERROR(INDEX(Classifiche!$M$4:$M$51,MATCH(E123,Classifiche!$B$4:$B$51,0)),FALSE)</f>
        <v/>
      </c>
      <c r="K123" s="26">
        <f>IFERROR(INDEX(Classifiche!$O$4:$O$51,MATCH(D123,Classifiche!$B$4:$B$51,0)),FALSE)</f>
        <v/>
      </c>
      <c r="L123" s="26">
        <f>IFERROR(INDEX(Classifiche!$O$4:$O$51,MATCH(E123,Classifiche!$B$4:$B$51,0)),FALSE)</f>
        <v/>
      </c>
      <c r="M123" s="26">
        <f>IFERROR(INDEX(Classifiche!$V$4:$V$15,MATCH(C123,Classifiche!$U$4:$U$15,0)),FALSE)</f>
        <v/>
      </c>
      <c r="N123" s="26">
        <f>AND(I123,J123)</f>
        <v/>
      </c>
      <c r="O123" s="25">
        <f>IF(N123,IF(M123,"VINTA (def.)","In vincita"),IF(OR(K123,L123,M123),"PERSA (def.)","In perdita"))</f>
        <v/>
      </c>
      <c r="P123" s="26">
        <f>IF(OR(AND(N123,M123),AND(NOT(N123),OR(K123,L123,M123))),"SI","NO")</f>
        <v/>
      </c>
      <c r="Q123">
        <f>IF(N123,1,0)</f>
        <v/>
      </c>
      <c r="R123">
        <f>IF(OR(K123,L123,AND(M123,NOT(N123))),1,0)</f>
        <v/>
      </c>
      <c r="S123">
        <f>IF(N123,IF(M123,2,1),IF(OR(K123,L123,M123),-2,-1))</f>
        <v/>
      </c>
    </row>
    <row r="124">
      <c r="A124" s="26" t="n">
        <v>8</v>
      </c>
      <c r="B124" s="26" t="n">
        <v>7</v>
      </c>
      <c r="C124" s="26" t="inlineStr">
        <is>
          <t>D</t>
        </is>
      </c>
      <c r="D124" s="25" t="inlineStr">
        <is>
          <t>Stati Uniti</t>
        </is>
      </c>
      <c r="E124" s="25" t="inlineStr">
        <is>
          <t>Paraguay</t>
        </is>
      </c>
      <c r="F124" s="29" t="n">
        <v>3.5</v>
      </c>
      <c r="G124" s="26">
        <f>IFERROR(INDEX(Classifiche!$L$4:$L$51,MATCH(D124,Classifiche!$B$4:$B$51,0)),"")</f>
        <v/>
      </c>
      <c r="H124" s="26">
        <f>IFERROR(INDEX(Classifiche!$L$4:$L$51,MATCH(E124,Classifiche!$B$4:$B$51,0)),"")</f>
        <v/>
      </c>
      <c r="I124" s="26">
        <f>IFERROR(INDEX(Classifiche!$M$4:$M$51,MATCH(D124,Classifiche!$B$4:$B$51,0)),FALSE)</f>
        <v/>
      </c>
      <c r="J124" s="26">
        <f>IFERROR(INDEX(Classifiche!$M$4:$M$51,MATCH(E124,Classifiche!$B$4:$B$51,0)),FALSE)</f>
        <v/>
      </c>
      <c r="K124" s="26">
        <f>IFERROR(INDEX(Classifiche!$O$4:$O$51,MATCH(D124,Classifiche!$B$4:$B$51,0)),FALSE)</f>
        <v/>
      </c>
      <c r="L124" s="26">
        <f>IFERROR(INDEX(Classifiche!$O$4:$O$51,MATCH(E124,Classifiche!$B$4:$B$51,0)),FALSE)</f>
        <v/>
      </c>
      <c r="M124" s="26">
        <f>IFERROR(INDEX(Classifiche!$V$4:$V$15,MATCH(C124,Classifiche!$U$4:$U$15,0)),FALSE)</f>
        <v/>
      </c>
      <c r="N124" s="26">
        <f>AND(I124,J124)</f>
        <v/>
      </c>
      <c r="O124" s="25">
        <f>IF(N124,IF(M124,"VINTA (def.)","In vincita"),IF(OR(K124,L124,M124),"PERSA (def.)","In perdita"))</f>
        <v/>
      </c>
      <c r="P124" s="26">
        <f>IF(OR(AND(N124,M124),AND(NOT(N124),OR(K124,L124,M124))),"SI","NO")</f>
        <v/>
      </c>
      <c r="Q124">
        <f>IF(N124,1,0)</f>
        <v/>
      </c>
      <c r="R124">
        <f>IF(OR(K124,L124,AND(M124,NOT(N124))),1,0)</f>
        <v/>
      </c>
      <c r="S124">
        <f>IF(N124,IF(M124,2,1),IF(OR(K124,L124,M124),-2,-1))</f>
        <v/>
      </c>
    </row>
    <row r="125">
      <c r="A125" s="26" t="n">
        <v>8</v>
      </c>
      <c r="B125" s="26" t="n">
        <v>8</v>
      </c>
      <c r="C125" s="26" t="inlineStr">
        <is>
          <t>D</t>
        </is>
      </c>
      <c r="D125" s="25" t="inlineStr">
        <is>
          <t>Turchia</t>
        </is>
      </c>
      <c r="E125" s="25" t="inlineStr">
        <is>
          <t>Paraguay</t>
        </is>
      </c>
      <c r="F125" s="29" t="n">
        <v>4.5</v>
      </c>
      <c r="G125" s="26">
        <f>IFERROR(INDEX(Classifiche!$L$4:$L$51,MATCH(D125,Classifiche!$B$4:$B$51,0)),"")</f>
        <v/>
      </c>
      <c r="H125" s="26">
        <f>IFERROR(INDEX(Classifiche!$L$4:$L$51,MATCH(E125,Classifiche!$B$4:$B$51,0)),"")</f>
        <v/>
      </c>
      <c r="I125" s="26">
        <f>IFERROR(INDEX(Classifiche!$M$4:$M$51,MATCH(D125,Classifiche!$B$4:$B$51,0)),FALSE)</f>
        <v/>
      </c>
      <c r="J125" s="26">
        <f>IFERROR(INDEX(Classifiche!$M$4:$M$51,MATCH(E125,Classifiche!$B$4:$B$51,0)),FALSE)</f>
        <v/>
      </c>
      <c r="K125" s="26">
        <f>IFERROR(INDEX(Classifiche!$O$4:$O$51,MATCH(D125,Classifiche!$B$4:$B$51,0)),FALSE)</f>
        <v/>
      </c>
      <c r="L125" s="26">
        <f>IFERROR(INDEX(Classifiche!$O$4:$O$51,MATCH(E125,Classifiche!$B$4:$B$51,0)),FALSE)</f>
        <v/>
      </c>
      <c r="M125" s="26">
        <f>IFERROR(INDEX(Classifiche!$V$4:$V$15,MATCH(C125,Classifiche!$U$4:$U$15,0)),FALSE)</f>
        <v/>
      </c>
      <c r="N125" s="26">
        <f>AND(I125,J125)</f>
        <v/>
      </c>
      <c r="O125" s="25">
        <f>IF(N125,IF(M125,"VINTA (def.)","In vincita"),IF(OR(K125,L125,M125),"PERSA (def.)","In perdita"))</f>
        <v/>
      </c>
      <c r="P125" s="26">
        <f>IF(OR(AND(N125,M125),AND(NOT(N125),OR(K125,L125,M125))),"SI","NO")</f>
        <v/>
      </c>
      <c r="Q125">
        <f>IF(N125,1,0)</f>
        <v/>
      </c>
      <c r="R125">
        <f>IF(OR(K125,L125,AND(M125,NOT(N125))),1,0)</f>
        <v/>
      </c>
      <c r="S125">
        <f>IF(N125,IF(M125,2,1),IF(OR(K125,L125,M125),-2,-1))</f>
        <v/>
      </c>
    </row>
    <row r="126">
      <c r="A126" s="26" t="n">
        <v>8</v>
      </c>
      <c r="B126" s="26" t="n">
        <v>9</v>
      </c>
      <c r="C126" s="26" t="inlineStr">
        <is>
          <t>I</t>
        </is>
      </c>
      <c r="D126" s="25" t="inlineStr">
        <is>
          <t>Francia</t>
        </is>
      </c>
      <c r="E126" s="25" t="inlineStr">
        <is>
          <t>Norvegia</t>
        </is>
      </c>
      <c r="F126" s="29" t="n">
        <v>1.55</v>
      </c>
      <c r="G126" s="26">
        <f>IFERROR(INDEX(Classifiche!$L$4:$L$51,MATCH(D126,Classifiche!$B$4:$B$51,0)),"")</f>
        <v/>
      </c>
      <c r="H126" s="26">
        <f>IFERROR(INDEX(Classifiche!$L$4:$L$51,MATCH(E126,Classifiche!$B$4:$B$51,0)),"")</f>
        <v/>
      </c>
      <c r="I126" s="26">
        <f>IFERROR(INDEX(Classifiche!$M$4:$M$51,MATCH(D126,Classifiche!$B$4:$B$51,0)),FALSE)</f>
        <v/>
      </c>
      <c r="J126" s="26">
        <f>IFERROR(INDEX(Classifiche!$M$4:$M$51,MATCH(E126,Classifiche!$B$4:$B$51,0)),FALSE)</f>
        <v/>
      </c>
      <c r="K126" s="26">
        <f>IFERROR(INDEX(Classifiche!$O$4:$O$51,MATCH(D126,Classifiche!$B$4:$B$51,0)),FALSE)</f>
        <v/>
      </c>
      <c r="L126" s="26">
        <f>IFERROR(INDEX(Classifiche!$O$4:$O$51,MATCH(E126,Classifiche!$B$4:$B$51,0)),FALSE)</f>
        <v/>
      </c>
      <c r="M126" s="26">
        <f>IFERROR(INDEX(Classifiche!$V$4:$V$15,MATCH(C126,Classifiche!$U$4:$U$15,0)),FALSE)</f>
        <v/>
      </c>
      <c r="N126" s="26">
        <f>AND(I126,J126)</f>
        <v/>
      </c>
      <c r="O126" s="25">
        <f>IF(N126,IF(M126,"VINTA (def.)","In vincita"),IF(OR(K126,L126,M126),"PERSA (def.)","In perdita"))</f>
        <v/>
      </c>
      <c r="P126" s="26">
        <f>IF(OR(AND(N126,M126),AND(NOT(N126),OR(K126,L126,M126))),"SI","NO")</f>
        <v/>
      </c>
      <c r="Q126">
        <f>IF(N126,1,0)</f>
        <v/>
      </c>
      <c r="R126">
        <f>IF(OR(K126,L126,AND(M126,NOT(N126))),1,0)</f>
        <v/>
      </c>
      <c r="S126">
        <f>IF(N126,IF(M126,2,1),IF(OR(K126,L126,M126),-2,-1))</f>
        <v/>
      </c>
    </row>
    <row r="127">
      <c r="A127" s="26" t="n">
        <v>8</v>
      </c>
      <c r="B127" s="26" t="n">
        <v>10</v>
      </c>
      <c r="C127" s="26" t="inlineStr">
        <is>
          <t>H</t>
        </is>
      </c>
      <c r="D127" s="25" t="inlineStr">
        <is>
          <t>Spagna</t>
        </is>
      </c>
      <c r="E127" s="25" t="inlineStr">
        <is>
          <t>Arabia Saudita</t>
        </is>
      </c>
      <c r="F127" s="29" t="n">
        <v>3.5</v>
      </c>
      <c r="G127" s="26">
        <f>IFERROR(INDEX(Classifiche!$L$4:$L$51,MATCH(D127,Classifiche!$B$4:$B$51,0)),"")</f>
        <v/>
      </c>
      <c r="H127" s="26">
        <f>IFERROR(INDEX(Classifiche!$L$4:$L$51,MATCH(E127,Classifiche!$B$4:$B$51,0)),"")</f>
        <v/>
      </c>
      <c r="I127" s="26">
        <f>IFERROR(INDEX(Classifiche!$M$4:$M$51,MATCH(D127,Classifiche!$B$4:$B$51,0)),FALSE)</f>
        <v/>
      </c>
      <c r="J127" s="26">
        <f>IFERROR(INDEX(Classifiche!$M$4:$M$51,MATCH(E127,Classifiche!$B$4:$B$51,0)),FALSE)</f>
        <v/>
      </c>
      <c r="K127" s="26">
        <f>IFERROR(INDEX(Classifiche!$O$4:$O$51,MATCH(D127,Classifiche!$B$4:$B$51,0)),FALSE)</f>
        <v/>
      </c>
      <c r="L127" s="26">
        <f>IFERROR(INDEX(Classifiche!$O$4:$O$51,MATCH(E127,Classifiche!$B$4:$B$51,0)),FALSE)</f>
        <v/>
      </c>
      <c r="M127" s="26">
        <f>IFERROR(INDEX(Classifiche!$V$4:$V$15,MATCH(C127,Classifiche!$U$4:$U$15,0)),FALSE)</f>
        <v/>
      </c>
      <c r="N127" s="26">
        <f>AND(I127,J127)</f>
        <v/>
      </c>
      <c r="O127" s="25">
        <f>IF(N127,IF(M127,"VINTA (def.)","In vincita"),IF(OR(K127,L127,M127),"PERSA (def.)","In perdita"))</f>
        <v/>
      </c>
      <c r="P127" s="26">
        <f>IF(OR(AND(N127,M127),AND(NOT(N127),OR(K127,L127,M127))),"SI","NO")</f>
        <v/>
      </c>
      <c r="Q127">
        <f>IF(N127,1,0)</f>
        <v/>
      </c>
      <c r="R127">
        <f>IF(OR(K127,L127,AND(M127,NOT(N127))),1,0)</f>
        <v/>
      </c>
      <c r="S127">
        <f>IF(N127,IF(M127,2,1),IF(OR(K127,L127,M127),-2,-1))</f>
        <v/>
      </c>
    </row>
    <row r="128">
      <c r="A128" s="26" t="n">
        <v>8</v>
      </c>
      <c r="B128" s="26" t="n">
        <v>11</v>
      </c>
      <c r="C128" s="26" t="inlineStr">
        <is>
          <t>G</t>
        </is>
      </c>
      <c r="D128" s="25" t="inlineStr">
        <is>
          <t>Belgio</t>
        </is>
      </c>
      <c r="E128" s="25" t="inlineStr">
        <is>
          <t>Egitto</t>
        </is>
      </c>
      <c r="F128" s="29" t="n">
        <v>1.85</v>
      </c>
      <c r="G128" s="26">
        <f>IFERROR(INDEX(Classifiche!$L$4:$L$51,MATCH(D128,Classifiche!$B$4:$B$51,0)),"")</f>
        <v/>
      </c>
      <c r="H128" s="26">
        <f>IFERROR(INDEX(Classifiche!$L$4:$L$51,MATCH(E128,Classifiche!$B$4:$B$51,0)),"")</f>
        <v/>
      </c>
      <c r="I128" s="26">
        <f>IFERROR(INDEX(Classifiche!$M$4:$M$51,MATCH(D128,Classifiche!$B$4:$B$51,0)),FALSE)</f>
        <v/>
      </c>
      <c r="J128" s="26">
        <f>IFERROR(INDEX(Classifiche!$M$4:$M$51,MATCH(E128,Classifiche!$B$4:$B$51,0)),FALSE)</f>
        <v/>
      </c>
      <c r="K128" s="26">
        <f>IFERROR(INDEX(Classifiche!$O$4:$O$51,MATCH(D128,Classifiche!$B$4:$B$51,0)),FALSE)</f>
        <v/>
      </c>
      <c r="L128" s="26">
        <f>IFERROR(INDEX(Classifiche!$O$4:$O$51,MATCH(E128,Classifiche!$B$4:$B$51,0)),FALSE)</f>
        <v/>
      </c>
      <c r="M128" s="26">
        <f>IFERROR(INDEX(Classifiche!$V$4:$V$15,MATCH(C128,Classifiche!$U$4:$U$15,0)),FALSE)</f>
        <v/>
      </c>
      <c r="N128" s="26">
        <f>AND(I128,J128)</f>
        <v/>
      </c>
      <c r="O128" s="25">
        <f>IF(N128,IF(M128,"VINTA (def.)","In vincita"),IF(OR(K128,L128,M128),"PERSA (def.)","In perdita"))</f>
        <v/>
      </c>
      <c r="P128" s="26">
        <f>IF(OR(AND(N128,M128),AND(NOT(N128),OR(K128,L128,M128))),"SI","NO")</f>
        <v/>
      </c>
      <c r="Q128">
        <f>IF(N128,1,0)</f>
        <v/>
      </c>
      <c r="R128">
        <f>IF(OR(K128,L128,AND(M128,NOT(N128))),1,0)</f>
        <v/>
      </c>
      <c r="S128">
        <f>IF(N128,IF(M128,2,1),IF(OR(K128,L128,M128),-2,-1))</f>
        <v/>
      </c>
    </row>
    <row r="129">
      <c r="A129" s="26" t="n">
        <v>8</v>
      </c>
      <c r="B129" s="26" t="n">
        <v>12</v>
      </c>
      <c r="C129" s="26" t="inlineStr">
        <is>
          <t>G</t>
        </is>
      </c>
      <c r="D129" s="25" t="inlineStr">
        <is>
          <t>Belgio</t>
        </is>
      </c>
      <c r="E129" s="25" t="inlineStr">
        <is>
          <t>Iran</t>
        </is>
      </c>
      <c r="F129" s="29" t="n">
        <v>2.5</v>
      </c>
      <c r="G129" s="26">
        <f>IFERROR(INDEX(Classifiche!$L$4:$L$51,MATCH(D129,Classifiche!$B$4:$B$51,0)),"")</f>
        <v/>
      </c>
      <c r="H129" s="26">
        <f>IFERROR(INDEX(Classifiche!$L$4:$L$51,MATCH(E129,Classifiche!$B$4:$B$51,0)),"")</f>
        <v/>
      </c>
      <c r="I129" s="26">
        <f>IFERROR(INDEX(Classifiche!$M$4:$M$51,MATCH(D129,Classifiche!$B$4:$B$51,0)),FALSE)</f>
        <v/>
      </c>
      <c r="J129" s="26">
        <f>IFERROR(INDEX(Classifiche!$M$4:$M$51,MATCH(E129,Classifiche!$B$4:$B$51,0)),FALSE)</f>
        <v/>
      </c>
      <c r="K129" s="26">
        <f>IFERROR(INDEX(Classifiche!$O$4:$O$51,MATCH(D129,Classifiche!$B$4:$B$51,0)),FALSE)</f>
        <v/>
      </c>
      <c r="L129" s="26">
        <f>IFERROR(INDEX(Classifiche!$O$4:$O$51,MATCH(E129,Classifiche!$B$4:$B$51,0)),FALSE)</f>
        <v/>
      </c>
      <c r="M129" s="26">
        <f>IFERROR(INDEX(Classifiche!$V$4:$V$15,MATCH(C129,Classifiche!$U$4:$U$15,0)),FALSE)</f>
        <v/>
      </c>
      <c r="N129" s="26">
        <f>AND(I129,J129)</f>
        <v/>
      </c>
      <c r="O129" s="25">
        <f>IF(N129,IF(M129,"VINTA (def.)","In vincita"),IF(OR(K129,L129,M129),"PERSA (def.)","In perdita"))</f>
        <v/>
      </c>
      <c r="P129" s="26">
        <f>IF(OR(AND(N129,M129),AND(NOT(N129),OR(K129,L129,M129))),"SI","NO")</f>
        <v/>
      </c>
      <c r="Q129">
        <f>IF(N129,1,0)</f>
        <v/>
      </c>
      <c r="R129">
        <f>IF(OR(K129,L129,AND(M129,NOT(N129))),1,0)</f>
        <v/>
      </c>
      <c r="S129">
        <f>IF(N129,IF(M129,2,1),IF(OR(K129,L129,M129),-2,-1))</f>
        <v/>
      </c>
    </row>
    <row r="130">
      <c r="A130" s="26" t="n">
        <v>8</v>
      </c>
      <c r="B130" s="26" t="n">
        <v>13</v>
      </c>
      <c r="C130" s="26" t="inlineStr">
        <is>
          <t>G</t>
        </is>
      </c>
      <c r="D130" s="25" t="inlineStr">
        <is>
          <t>Belgio</t>
        </is>
      </c>
      <c r="E130" s="25" t="inlineStr">
        <is>
          <t>Nuova Zelanda</t>
        </is>
      </c>
      <c r="F130" s="29" t="n">
        <v>7.5</v>
      </c>
      <c r="G130" s="26">
        <f>IFERROR(INDEX(Classifiche!$L$4:$L$51,MATCH(D130,Classifiche!$B$4:$B$51,0)),"")</f>
        <v/>
      </c>
      <c r="H130" s="26">
        <f>IFERROR(INDEX(Classifiche!$L$4:$L$51,MATCH(E130,Classifiche!$B$4:$B$51,0)),"")</f>
        <v/>
      </c>
      <c r="I130" s="26">
        <f>IFERROR(INDEX(Classifiche!$M$4:$M$51,MATCH(D130,Classifiche!$B$4:$B$51,0)),FALSE)</f>
        <v/>
      </c>
      <c r="J130" s="26">
        <f>IFERROR(INDEX(Classifiche!$M$4:$M$51,MATCH(E130,Classifiche!$B$4:$B$51,0)),FALSE)</f>
        <v/>
      </c>
      <c r="K130" s="26">
        <f>IFERROR(INDEX(Classifiche!$O$4:$O$51,MATCH(D130,Classifiche!$B$4:$B$51,0)),FALSE)</f>
        <v/>
      </c>
      <c r="L130" s="26">
        <f>IFERROR(INDEX(Classifiche!$O$4:$O$51,MATCH(E130,Classifiche!$B$4:$B$51,0)),FALSE)</f>
        <v/>
      </c>
      <c r="M130" s="26">
        <f>IFERROR(INDEX(Classifiche!$V$4:$V$15,MATCH(C130,Classifiche!$U$4:$U$15,0)),FALSE)</f>
        <v/>
      </c>
      <c r="N130" s="26">
        <f>AND(I130,J130)</f>
        <v/>
      </c>
      <c r="O130" s="25">
        <f>IF(N130,IF(M130,"VINTA (def.)","In vincita"),IF(OR(K130,L130,M130),"PERSA (def.)","In perdita"))</f>
        <v/>
      </c>
      <c r="P130" s="26">
        <f>IF(OR(AND(N130,M130),AND(NOT(N130),OR(K130,L130,M130))),"SI","NO")</f>
        <v/>
      </c>
      <c r="Q130">
        <f>IF(N130,1,0)</f>
        <v/>
      </c>
      <c r="R130">
        <f>IF(OR(K130,L130,AND(M130,NOT(N130))),1,0)</f>
        <v/>
      </c>
      <c r="S130">
        <f>IF(N130,IF(M130,2,1),IF(OR(K130,L130,M130),-2,-1))</f>
        <v/>
      </c>
    </row>
    <row r="131">
      <c r="A131" s="26" t="n">
        <v>8</v>
      </c>
      <c r="B131" s="26" t="n">
        <v>14</v>
      </c>
      <c r="C131" s="26" t="inlineStr">
        <is>
          <t>L</t>
        </is>
      </c>
      <c r="D131" s="25" t="inlineStr">
        <is>
          <t>Inghilterra</t>
        </is>
      </c>
      <c r="E131" s="25" t="inlineStr">
        <is>
          <t>Ghana</t>
        </is>
      </c>
      <c r="F131" s="29" t="n">
        <v>3.5</v>
      </c>
      <c r="G131" s="26">
        <f>IFERROR(INDEX(Classifiche!$L$4:$L$51,MATCH(D131,Classifiche!$B$4:$B$51,0)),"")</f>
        <v/>
      </c>
      <c r="H131" s="26">
        <f>IFERROR(INDEX(Classifiche!$L$4:$L$51,MATCH(E131,Classifiche!$B$4:$B$51,0)),"")</f>
        <v/>
      </c>
      <c r="I131" s="26">
        <f>IFERROR(INDEX(Classifiche!$M$4:$M$51,MATCH(D131,Classifiche!$B$4:$B$51,0)),FALSE)</f>
        <v/>
      </c>
      <c r="J131" s="26">
        <f>IFERROR(INDEX(Classifiche!$M$4:$M$51,MATCH(E131,Classifiche!$B$4:$B$51,0)),FALSE)</f>
        <v/>
      </c>
      <c r="K131" s="26">
        <f>IFERROR(INDEX(Classifiche!$O$4:$O$51,MATCH(D131,Classifiche!$B$4:$B$51,0)),FALSE)</f>
        <v/>
      </c>
      <c r="L131" s="26">
        <f>IFERROR(INDEX(Classifiche!$O$4:$O$51,MATCH(E131,Classifiche!$B$4:$B$51,0)),FALSE)</f>
        <v/>
      </c>
      <c r="M131" s="26">
        <f>IFERROR(INDEX(Classifiche!$V$4:$V$15,MATCH(C131,Classifiche!$U$4:$U$15,0)),FALSE)</f>
        <v/>
      </c>
      <c r="N131" s="26">
        <f>AND(I131,J131)</f>
        <v/>
      </c>
      <c r="O131" s="25">
        <f>IF(N131,IF(M131,"VINTA (def.)","In vincita"),IF(OR(K131,L131,M131),"PERSA (def.)","In perdita"))</f>
        <v/>
      </c>
      <c r="P131" s="26">
        <f>IF(OR(AND(N131,M131),AND(NOT(N131),OR(K131,L131,M131))),"SI","NO")</f>
        <v/>
      </c>
      <c r="Q131">
        <f>IF(N131,1,0)</f>
        <v/>
      </c>
      <c r="R131">
        <f>IF(OR(K131,L131,AND(M131,NOT(N131))),1,0)</f>
        <v/>
      </c>
      <c r="S131">
        <f>IF(N131,IF(M131,2,1),IF(OR(K131,L131,M131),-2,-1))</f>
        <v/>
      </c>
    </row>
    <row r="132">
      <c r="A132" s="26" t="n">
        <v>8</v>
      </c>
      <c r="B132" s="26" t="n">
        <v>15</v>
      </c>
      <c r="C132" s="26" t="inlineStr">
        <is>
          <t>K</t>
        </is>
      </c>
      <c r="D132" s="25" t="inlineStr">
        <is>
          <t>Portogallo</t>
        </is>
      </c>
      <c r="E132" s="25" t="inlineStr">
        <is>
          <t>Colombia</t>
        </is>
      </c>
      <c r="F132" s="29" t="n">
        <v>1.25</v>
      </c>
      <c r="G132" s="26">
        <f>IFERROR(INDEX(Classifiche!$L$4:$L$51,MATCH(D132,Classifiche!$B$4:$B$51,0)),"")</f>
        <v/>
      </c>
      <c r="H132" s="26">
        <f>IFERROR(INDEX(Classifiche!$L$4:$L$51,MATCH(E132,Classifiche!$B$4:$B$51,0)),"")</f>
        <v/>
      </c>
      <c r="I132" s="26">
        <f>IFERROR(INDEX(Classifiche!$M$4:$M$51,MATCH(D132,Classifiche!$B$4:$B$51,0)),FALSE)</f>
        <v/>
      </c>
      <c r="J132" s="26">
        <f>IFERROR(INDEX(Classifiche!$M$4:$M$51,MATCH(E132,Classifiche!$B$4:$B$51,0)),FALSE)</f>
        <v/>
      </c>
      <c r="K132" s="26">
        <f>IFERROR(INDEX(Classifiche!$O$4:$O$51,MATCH(D132,Classifiche!$B$4:$B$51,0)),FALSE)</f>
        <v/>
      </c>
      <c r="L132" s="26">
        <f>IFERROR(INDEX(Classifiche!$O$4:$O$51,MATCH(E132,Classifiche!$B$4:$B$51,0)),FALSE)</f>
        <v/>
      </c>
      <c r="M132" s="26">
        <f>IFERROR(INDEX(Classifiche!$V$4:$V$15,MATCH(C132,Classifiche!$U$4:$U$15,0)),FALSE)</f>
        <v/>
      </c>
      <c r="N132" s="26">
        <f>AND(I132,J132)</f>
        <v/>
      </c>
      <c r="O132" s="25">
        <f>IF(N132,IF(M132,"VINTA (def.)","In vincita"),IF(OR(K132,L132,M132),"PERSA (def.)","In perdita"))</f>
        <v/>
      </c>
      <c r="P132" s="26">
        <f>IF(OR(AND(N132,M132),AND(NOT(N132),OR(K132,L132,M132))),"SI","NO")</f>
        <v/>
      </c>
      <c r="Q132">
        <f>IF(N132,1,0)</f>
        <v/>
      </c>
      <c r="R132">
        <f>IF(OR(K132,L132,AND(M132,NOT(N132))),1,0)</f>
        <v/>
      </c>
      <c r="S132">
        <f>IF(N132,IF(M132,2,1),IF(OR(K132,L132,M132),-2,-1))</f>
        <v/>
      </c>
    </row>
    <row r="133">
      <c r="A133" s="26" t="n">
        <v>8</v>
      </c>
      <c r="B133" s="26" t="n">
        <v>16</v>
      </c>
      <c r="C133" s="26" t="inlineStr">
        <is>
          <t>K</t>
        </is>
      </c>
      <c r="D133" s="25" t="inlineStr">
        <is>
          <t>Portogallo</t>
        </is>
      </c>
      <c r="E133" s="25" t="inlineStr">
        <is>
          <t>Rd Congo</t>
        </is>
      </c>
      <c r="F133" s="29" t="n">
        <v>4.5</v>
      </c>
      <c r="G133" s="26">
        <f>IFERROR(INDEX(Classifiche!$L$4:$L$51,MATCH(D133,Classifiche!$B$4:$B$51,0)),"")</f>
        <v/>
      </c>
      <c r="H133" s="26">
        <f>IFERROR(INDEX(Classifiche!$L$4:$L$51,MATCH(E133,Classifiche!$B$4:$B$51,0)),"")</f>
        <v/>
      </c>
      <c r="I133" s="26">
        <f>IFERROR(INDEX(Classifiche!$M$4:$M$51,MATCH(D133,Classifiche!$B$4:$B$51,0)),FALSE)</f>
        <v/>
      </c>
      <c r="J133" s="26">
        <f>IFERROR(INDEX(Classifiche!$M$4:$M$51,MATCH(E133,Classifiche!$B$4:$B$51,0)),FALSE)</f>
        <v/>
      </c>
      <c r="K133" s="26">
        <f>IFERROR(INDEX(Classifiche!$O$4:$O$51,MATCH(D133,Classifiche!$B$4:$B$51,0)),FALSE)</f>
        <v/>
      </c>
      <c r="L133" s="26">
        <f>IFERROR(INDEX(Classifiche!$O$4:$O$51,MATCH(E133,Classifiche!$B$4:$B$51,0)),FALSE)</f>
        <v/>
      </c>
      <c r="M133" s="26">
        <f>IFERROR(INDEX(Classifiche!$V$4:$V$15,MATCH(C133,Classifiche!$U$4:$U$15,0)),FALSE)</f>
        <v/>
      </c>
      <c r="N133" s="26">
        <f>AND(I133,J133)</f>
        <v/>
      </c>
      <c r="O133" s="25">
        <f>IF(N133,IF(M133,"VINTA (def.)","In vincita"),IF(OR(K133,L133,M133),"PERSA (def.)","In perdita"))</f>
        <v/>
      </c>
      <c r="P133" s="26">
        <f>IF(OR(AND(N133,M133),AND(NOT(N133),OR(K133,L133,M133))),"SI","NO")</f>
        <v/>
      </c>
      <c r="Q133">
        <f>IF(N133,1,0)</f>
        <v/>
      </c>
      <c r="R133">
        <f>IF(OR(K133,L133,AND(M133,NOT(N133))),1,0)</f>
        <v/>
      </c>
      <c r="S133">
        <f>IF(N133,IF(M133,2,1),IF(OR(K133,L133,M133),-2,-1))</f>
        <v/>
      </c>
    </row>
    <row r="134">
      <c r="A134" s="26" t="n">
        <v>8</v>
      </c>
      <c r="B134" s="26" t="n">
        <v>17</v>
      </c>
      <c r="C134" s="26" t="inlineStr">
        <is>
          <t>J</t>
        </is>
      </c>
      <c r="D134" s="25" t="inlineStr">
        <is>
          <t>Argentina</t>
        </is>
      </c>
      <c r="E134" s="25" t="inlineStr">
        <is>
          <t>Algeria</t>
        </is>
      </c>
      <c r="F134" s="29" t="n">
        <v>2.25</v>
      </c>
      <c r="G134" s="26">
        <f>IFERROR(INDEX(Classifiche!$L$4:$L$51,MATCH(D134,Classifiche!$B$4:$B$51,0)),"")</f>
        <v/>
      </c>
      <c r="H134" s="26">
        <f>IFERROR(INDEX(Classifiche!$L$4:$L$51,MATCH(E134,Classifiche!$B$4:$B$51,0)),"")</f>
        <v/>
      </c>
      <c r="I134" s="26">
        <f>IFERROR(INDEX(Classifiche!$M$4:$M$51,MATCH(D134,Classifiche!$B$4:$B$51,0)),FALSE)</f>
        <v/>
      </c>
      <c r="J134" s="26">
        <f>IFERROR(INDEX(Classifiche!$M$4:$M$51,MATCH(E134,Classifiche!$B$4:$B$51,0)),FALSE)</f>
        <v/>
      </c>
      <c r="K134" s="26">
        <f>IFERROR(INDEX(Classifiche!$O$4:$O$51,MATCH(D134,Classifiche!$B$4:$B$51,0)),FALSE)</f>
        <v/>
      </c>
      <c r="L134" s="26">
        <f>IFERROR(INDEX(Classifiche!$O$4:$O$51,MATCH(E134,Classifiche!$B$4:$B$51,0)),FALSE)</f>
        <v/>
      </c>
      <c r="M134" s="26">
        <f>IFERROR(INDEX(Classifiche!$V$4:$V$15,MATCH(C134,Classifiche!$U$4:$U$15,0)),FALSE)</f>
        <v/>
      </c>
      <c r="N134" s="26">
        <f>AND(I134,J134)</f>
        <v/>
      </c>
      <c r="O134" s="25">
        <f>IF(N134,IF(M134,"VINTA (def.)","In vincita"),IF(OR(K134,L134,M134),"PERSA (def.)","In perdita"))</f>
        <v/>
      </c>
      <c r="P134" s="26">
        <f>IF(OR(AND(N134,M134),AND(NOT(N134),OR(K134,L134,M134))),"SI","NO")</f>
        <v/>
      </c>
      <c r="Q134">
        <f>IF(N134,1,0)</f>
        <v/>
      </c>
      <c r="R134">
        <f>IF(OR(K134,L134,AND(M134,NOT(N134))),1,0)</f>
        <v/>
      </c>
      <c r="S134">
        <f>IF(N134,IF(M134,2,1),IF(OR(K134,L134,M134),-2,-1))</f>
        <v/>
      </c>
    </row>
    <row r="135">
      <c r="A135" s="26" t="n">
        <v>9</v>
      </c>
      <c r="B135" s="26" t="n">
        <v>1</v>
      </c>
      <c r="C135" s="26" t="inlineStr">
        <is>
          <t>C</t>
        </is>
      </c>
      <c r="D135" s="25" t="inlineStr">
        <is>
          <t>Brasile</t>
        </is>
      </c>
      <c r="E135" s="25" t="inlineStr">
        <is>
          <t>Marocco</t>
        </is>
      </c>
      <c r="F135" s="29" t="n">
        <v>1.6</v>
      </c>
      <c r="G135" s="26">
        <f>IFERROR(INDEX(Classifiche!$L$4:$L$51,MATCH(D135,Classifiche!$B$4:$B$51,0)),"")</f>
        <v/>
      </c>
      <c r="H135" s="26">
        <f>IFERROR(INDEX(Classifiche!$L$4:$L$51,MATCH(E135,Classifiche!$B$4:$B$51,0)),"")</f>
        <v/>
      </c>
      <c r="I135" s="26">
        <f>IFERROR(INDEX(Classifiche!$M$4:$M$51,MATCH(D135,Classifiche!$B$4:$B$51,0)),FALSE)</f>
        <v/>
      </c>
      <c r="J135" s="26">
        <f>IFERROR(INDEX(Classifiche!$M$4:$M$51,MATCH(E135,Classifiche!$B$4:$B$51,0)),FALSE)</f>
        <v/>
      </c>
      <c r="K135" s="26">
        <f>IFERROR(INDEX(Classifiche!$O$4:$O$51,MATCH(D135,Classifiche!$B$4:$B$51,0)),FALSE)</f>
        <v/>
      </c>
      <c r="L135" s="26">
        <f>IFERROR(INDEX(Classifiche!$O$4:$O$51,MATCH(E135,Classifiche!$B$4:$B$51,0)),FALSE)</f>
        <v/>
      </c>
      <c r="M135" s="26">
        <f>IFERROR(INDEX(Classifiche!$V$4:$V$15,MATCH(C135,Classifiche!$U$4:$U$15,0)),FALSE)</f>
        <v/>
      </c>
      <c r="N135" s="26">
        <f>AND(I135,J135)</f>
        <v/>
      </c>
      <c r="O135" s="25">
        <f>IF(N135,IF(M135,"VINTA (def.)","In vincita"),IF(OR(K135,L135,M135),"PERSA (def.)","In perdita"))</f>
        <v/>
      </c>
      <c r="P135" s="26">
        <f>IF(OR(AND(N135,M135),AND(NOT(N135),OR(K135,L135,M135))),"SI","NO")</f>
        <v/>
      </c>
      <c r="Q135">
        <f>IF(N135,1,0)</f>
        <v/>
      </c>
      <c r="R135">
        <f>IF(OR(K135,L135,AND(M135,NOT(N135))),1,0)</f>
        <v/>
      </c>
      <c r="S135">
        <f>IF(N135,IF(M135,2,1),IF(OR(K135,L135,M135),-2,-1))</f>
        <v/>
      </c>
    </row>
    <row r="136">
      <c r="A136" s="26" t="n">
        <v>9</v>
      </c>
      <c r="B136" s="26" t="n">
        <v>2</v>
      </c>
      <c r="C136" s="26" t="inlineStr">
        <is>
          <t>E</t>
        </is>
      </c>
      <c r="D136" s="25" t="inlineStr">
        <is>
          <t>Germania</t>
        </is>
      </c>
      <c r="E136" s="25" t="inlineStr">
        <is>
          <t>Ecuador</t>
        </is>
      </c>
      <c r="F136" s="29" t="n">
        <v>1.65</v>
      </c>
      <c r="G136" s="26">
        <f>IFERROR(INDEX(Classifiche!$L$4:$L$51,MATCH(D136,Classifiche!$B$4:$B$51,0)),"")</f>
        <v/>
      </c>
      <c r="H136" s="26">
        <f>IFERROR(INDEX(Classifiche!$L$4:$L$51,MATCH(E136,Classifiche!$B$4:$B$51,0)),"")</f>
        <v/>
      </c>
      <c r="I136" s="26">
        <f>IFERROR(INDEX(Classifiche!$M$4:$M$51,MATCH(D136,Classifiche!$B$4:$B$51,0)),FALSE)</f>
        <v/>
      </c>
      <c r="J136" s="26">
        <f>IFERROR(INDEX(Classifiche!$M$4:$M$51,MATCH(E136,Classifiche!$B$4:$B$51,0)),FALSE)</f>
        <v/>
      </c>
      <c r="K136" s="26">
        <f>IFERROR(INDEX(Classifiche!$O$4:$O$51,MATCH(D136,Classifiche!$B$4:$B$51,0)),FALSE)</f>
        <v/>
      </c>
      <c r="L136" s="26">
        <f>IFERROR(INDEX(Classifiche!$O$4:$O$51,MATCH(E136,Classifiche!$B$4:$B$51,0)),FALSE)</f>
        <v/>
      </c>
      <c r="M136" s="26">
        <f>IFERROR(INDEX(Classifiche!$V$4:$V$15,MATCH(C136,Classifiche!$U$4:$U$15,0)),FALSE)</f>
        <v/>
      </c>
      <c r="N136" s="26">
        <f>AND(I136,J136)</f>
        <v/>
      </c>
      <c r="O136" s="25">
        <f>IF(N136,IF(M136,"VINTA (def.)","In vincita"),IF(OR(K136,L136,M136),"PERSA (def.)","In perdita"))</f>
        <v/>
      </c>
      <c r="P136" s="26">
        <f>IF(OR(AND(N136,M136),AND(NOT(N136),OR(K136,L136,M136))),"SI","NO")</f>
        <v/>
      </c>
      <c r="Q136">
        <f>IF(N136,1,0)</f>
        <v/>
      </c>
      <c r="R136">
        <f>IF(OR(K136,L136,AND(M136,NOT(N136))),1,0)</f>
        <v/>
      </c>
      <c r="S136">
        <f>IF(N136,IF(M136,2,1),IF(OR(K136,L136,M136),-2,-1))</f>
        <v/>
      </c>
    </row>
    <row r="137">
      <c r="A137" s="26" t="n">
        <v>9</v>
      </c>
      <c r="B137" s="26" t="n">
        <v>3</v>
      </c>
      <c r="C137" s="26" t="inlineStr">
        <is>
          <t>F</t>
        </is>
      </c>
      <c r="D137" s="25" t="inlineStr">
        <is>
          <t>Olanda</t>
        </is>
      </c>
      <c r="E137" s="25" t="inlineStr">
        <is>
          <t>Giappone</t>
        </is>
      </c>
      <c r="F137" s="29" t="n">
        <v>2.25</v>
      </c>
      <c r="G137" s="26">
        <f>IFERROR(INDEX(Classifiche!$L$4:$L$51,MATCH(D137,Classifiche!$B$4:$B$51,0)),"")</f>
        <v/>
      </c>
      <c r="H137" s="26">
        <f>IFERROR(INDEX(Classifiche!$L$4:$L$51,MATCH(E137,Classifiche!$B$4:$B$51,0)),"")</f>
        <v/>
      </c>
      <c r="I137" s="26">
        <f>IFERROR(INDEX(Classifiche!$M$4:$M$51,MATCH(D137,Classifiche!$B$4:$B$51,0)),FALSE)</f>
        <v/>
      </c>
      <c r="J137" s="26">
        <f>IFERROR(INDEX(Classifiche!$M$4:$M$51,MATCH(E137,Classifiche!$B$4:$B$51,0)),FALSE)</f>
        <v/>
      </c>
      <c r="K137" s="26">
        <f>IFERROR(INDEX(Classifiche!$O$4:$O$51,MATCH(D137,Classifiche!$B$4:$B$51,0)),FALSE)</f>
        <v/>
      </c>
      <c r="L137" s="26">
        <f>IFERROR(INDEX(Classifiche!$O$4:$O$51,MATCH(E137,Classifiche!$B$4:$B$51,0)),FALSE)</f>
        <v/>
      </c>
      <c r="M137" s="26">
        <f>IFERROR(INDEX(Classifiche!$V$4:$V$15,MATCH(C137,Classifiche!$U$4:$U$15,0)),FALSE)</f>
        <v/>
      </c>
      <c r="N137" s="26">
        <f>AND(I137,J137)</f>
        <v/>
      </c>
      <c r="O137" s="25">
        <f>IF(N137,IF(M137,"VINTA (def.)","In vincita"),IF(OR(K137,L137,M137),"PERSA (def.)","In perdita"))</f>
        <v/>
      </c>
      <c r="P137" s="26">
        <f>IF(OR(AND(N137,M137),AND(NOT(N137),OR(K137,L137,M137))),"SI","NO")</f>
        <v/>
      </c>
      <c r="Q137">
        <f>IF(N137,1,0)</f>
        <v/>
      </c>
      <c r="R137">
        <f>IF(OR(K137,L137,AND(M137,NOT(N137))),1,0)</f>
        <v/>
      </c>
      <c r="S137">
        <f>IF(N137,IF(M137,2,1),IF(OR(K137,L137,M137),-2,-1))</f>
        <v/>
      </c>
    </row>
    <row r="138">
      <c r="A138" s="26" t="n">
        <v>9</v>
      </c>
      <c r="B138" s="26" t="n">
        <v>4</v>
      </c>
      <c r="C138" s="26" t="inlineStr">
        <is>
          <t>F</t>
        </is>
      </c>
      <c r="D138" s="25" t="inlineStr">
        <is>
          <t>Olanda</t>
        </is>
      </c>
      <c r="E138" s="25" t="inlineStr">
        <is>
          <t>Svezia</t>
        </is>
      </c>
      <c r="F138" s="29" t="n">
        <v>2.75</v>
      </c>
      <c r="G138" s="26">
        <f>IFERROR(INDEX(Classifiche!$L$4:$L$51,MATCH(D138,Classifiche!$B$4:$B$51,0)),"")</f>
        <v/>
      </c>
      <c r="H138" s="26">
        <f>IFERROR(INDEX(Classifiche!$L$4:$L$51,MATCH(E138,Classifiche!$B$4:$B$51,0)),"")</f>
        <v/>
      </c>
      <c r="I138" s="26">
        <f>IFERROR(INDEX(Classifiche!$M$4:$M$51,MATCH(D138,Classifiche!$B$4:$B$51,0)),FALSE)</f>
        <v/>
      </c>
      <c r="J138" s="26">
        <f>IFERROR(INDEX(Classifiche!$M$4:$M$51,MATCH(E138,Classifiche!$B$4:$B$51,0)),FALSE)</f>
        <v/>
      </c>
      <c r="K138" s="26">
        <f>IFERROR(INDEX(Classifiche!$O$4:$O$51,MATCH(D138,Classifiche!$B$4:$B$51,0)),FALSE)</f>
        <v/>
      </c>
      <c r="L138" s="26">
        <f>IFERROR(INDEX(Classifiche!$O$4:$O$51,MATCH(E138,Classifiche!$B$4:$B$51,0)),FALSE)</f>
        <v/>
      </c>
      <c r="M138" s="26">
        <f>IFERROR(INDEX(Classifiche!$V$4:$V$15,MATCH(C138,Classifiche!$U$4:$U$15,0)),FALSE)</f>
        <v/>
      </c>
      <c r="N138" s="26">
        <f>AND(I138,J138)</f>
        <v/>
      </c>
      <c r="O138" s="25">
        <f>IF(N138,IF(M138,"VINTA (def.)","In vincita"),IF(OR(K138,L138,M138),"PERSA (def.)","In perdita"))</f>
        <v/>
      </c>
      <c r="P138" s="26">
        <f>IF(OR(AND(N138,M138),AND(NOT(N138),OR(K138,L138,M138))),"SI","NO")</f>
        <v/>
      </c>
      <c r="Q138">
        <f>IF(N138,1,0)</f>
        <v/>
      </c>
      <c r="R138">
        <f>IF(OR(K138,L138,AND(M138,NOT(N138))),1,0)</f>
        <v/>
      </c>
      <c r="S138">
        <f>IF(N138,IF(M138,2,1),IF(OR(K138,L138,M138),-2,-1))</f>
        <v/>
      </c>
    </row>
    <row r="139">
      <c r="A139" s="26" t="n">
        <v>9</v>
      </c>
      <c r="B139" s="26" t="n">
        <v>5</v>
      </c>
      <c r="C139" s="26" t="inlineStr">
        <is>
          <t>F</t>
        </is>
      </c>
      <c r="D139" s="25" t="inlineStr">
        <is>
          <t>Giappone</t>
        </is>
      </c>
      <c r="E139" s="25" t="inlineStr">
        <is>
          <t>Svezia</t>
        </is>
      </c>
      <c r="F139" s="29" t="n">
        <v>5</v>
      </c>
      <c r="G139" s="26">
        <f>IFERROR(INDEX(Classifiche!$L$4:$L$51,MATCH(D139,Classifiche!$B$4:$B$51,0)),"")</f>
        <v/>
      </c>
      <c r="H139" s="26">
        <f>IFERROR(INDEX(Classifiche!$L$4:$L$51,MATCH(E139,Classifiche!$B$4:$B$51,0)),"")</f>
        <v/>
      </c>
      <c r="I139" s="26">
        <f>IFERROR(INDEX(Classifiche!$M$4:$M$51,MATCH(D139,Classifiche!$B$4:$B$51,0)),FALSE)</f>
        <v/>
      </c>
      <c r="J139" s="26">
        <f>IFERROR(INDEX(Classifiche!$M$4:$M$51,MATCH(E139,Classifiche!$B$4:$B$51,0)),FALSE)</f>
        <v/>
      </c>
      <c r="K139" s="26">
        <f>IFERROR(INDEX(Classifiche!$O$4:$O$51,MATCH(D139,Classifiche!$B$4:$B$51,0)),FALSE)</f>
        <v/>
      </c>
      <c r="L139" s="26">
        <f>IFERROR(INDEX(Classifiche!$O$4:$O$51,MATCH(E139,Classifiche!$B$4:$B$51,0)),FALSE)</f>
        <v/>
      </c>
      <c r="M139" s="26">
        <f>IFERROR(INDEX(Classifiche!$V$4:$V$15,MATCH(C139,Classifiche!$U$4:$U$15,0)),FALSE)</f>
        <v/>
      </c>
      <c r="N139" s="26">
        <f>AND(I139,J139)</f>
        <v/>
      </c>
      <c r="O139" s="25">
        <f>IF(N139,IF(M139,"VINTA (def.)","In vincita"),IF(OR(K139,L139,M139),"PERSA (def.)","In perdita"))</f>
        <v/>
      </c>
      <c r="P139" s="26">
        <f>IF(OR(AND(N139,M139),AND(NOT(N139),OR(K139,L139,M139))),"SI","NO")</f>
        <v/>
      </c>
      <c r="Q139">
        <f>IF(N139,1,0)</f>
        <v/>
      </c>
      <c r="R139">
        <f>IF(OR(K139,L139,AND(M139,NOT(N139))),1,0)</f>
        <v/>
      </c>
      <c r="S139">
        <f>IF(N139,IF(M139,2,1),IF(OR(K139,L139,M139),-2,-1))</f>
        <v/>
      </c>
    </row>
    <row r="140">
      <c r="A140" s="26" t="n">
        <v>9</v>
      </c>
      <c r="B140" s="26" t="n">
        <v>6</v>
      </c>
      <c r="C140" s="26" t="inlineStr">
        <is>
          <t>D</t>
        </is>
      </c>
      <c r="D140" s="25" t="inlineStr">
        <is>
          <t>Stati Uniti</t>
        </is>
      </c>
      <c r="E140" s="25" t="inlineStr">
        <is>
          <t>Turchia</t>
        </is>
      </c>
      <c r="F140" s="29" t="n">
        <v>2.25</v>
      </c>
      <c r="G140" s="26">
        <f>IFERROR(INDEX(Classifiche!$L$4:$L$51,MATCH(D140,Classifiche!$B$4:$B$51,0)),"")</f>
        <v/>
      </c>
      <c r="H140" s="26">
        <f>IFERROR(INDEX(Classifiche!$L$4:$L$51,MATCH(E140,Classifiche!$B$4:$B$51,0)),"")</f>
        <v/>
      </c>
      <c r="I140" s="26">
        <f>IFERROR(INDEX(Classifiche!$M$4:$M$51,MATCH(D140,Classifiche!$B$4:$B$51,0)),FALSE)</f>
        <v/>
      </c>
      <c r="J140" s="26">
        <f>IFERROR(INDEX(Classifiche!$M$4:$M$51,MATCH(E140,Classifiche!$B$4:$B$51,0)),FALSE)</f>
        <v/>
      </c>
      <c r="K140" s="26">
        <f>IFERROR(INDEX(Classifiche!$O$4:$O$51,MATCH(D140,Classifiche!$B$4:$B$51,0)),FALSE)</f>
        <v/>
      </c>
      <c r="L140" s="26">
        <f>IFERROR(INDEX(Classifiche!$O$4:$O$51,MATCH(E140,Classifiche!$B$4:$B$51,0)),FALSE)</f>
        <v/>
      </c>
      <c r="M140" s="26">
        <f>IFERROR(INDEX(Classifiche!$V$4:$V$15,MATCH(C140,Classifiche!$U$4:$U$15,0)),FALSE)</f>
        <v/>
      </c>
      <c r="N140" s="26">
        <f>AND(I140,J140)</f>
        <v/>
      </c>
      <c r="O140" s="25">
        <f>IF(N140,IF(M140,"VINTA (def.)","In vincita"),IF(OR(K140,L140,M140),"PERSA (def.)","In perdita"))</f>
        <v/>
      </c>
      <c r="P140" s="26">
        <f>IF(OR(AND(N140,M140),AND(NOT(N140),OR(K140,L140,M140))),"SI","NO")</f>
        <v/>
      </c>
      <c r="Q140">
        <f>IF(N140,1,0)</f>
        <v/>
      </c>
      <c r="R140">
        <f>IF(OR(K140,L140,AND(M140,NOT(N140))),1,0)</f>
        <v/>
      </c>
      <c r="S140">
        <f>IF(N140,IF(M140,2,1),IF(OR(K140,L140,M140),-2,-1))</f>
        <v/>
      </c>
    </row>
    <row r="141">
      <c r="A141" s="26" t="n">
        <v>9</v>
      </c>
      <c r="B141" s="26" t="n">
        <v>7</v>
      </c>
      <c r="C141" s="26" t="inlineStr">
        <is>
          <t>D</t>
        </is>
      </c>
      <c r="D141" s="25" t="inlineStr">
        <is>
          <t>Stati Uniti</t>
        </is>
      </c>
      <c r="E141" s="25" t="inlineStr">
        <is>
          <t>Paraguay</t>
        </is>
      </c>
      <c r="F141" s="29" t="n">
        <v>3.5</v>
      </c>
      <c r="G141" s="26">
        <f>IFERROR(INDEX(Classifiche!$L$4:$L$51,MATCH(D141,Classifiche!$B$4:$B$51,0)),"")</f>
        <v/>
      </c>
      <c r="H141" s="26">
        <f>IFERROR(INDEX(Classifiche!$L$4:$L$51,MATCH(E141,Classifiche!$B$4:$B$51,0)),"")</f>
        <v/>
      </c>
      <c r="I141" s="26">
        <f>IFERROR(INDEX(Classifiche!$M$4:$M$51,MATCH(D141,Classifiche!$B$4:$B$51,0)),FALSE)</f>
        <v/>
      </c>
      <c r="J141" s="26">
        <f>IFERROR(INDEX(Classifiche!$M$4:$M$51,MATCH(E141,Classifiche!$B$4:$B$51,0)),FALSE)</f>
        <v/>
      </c>
      <c r="K141" s="26">
        <f>IFERROR(INDEX(Classifiche!$O$4:$O$51,MATCH(D141,Classifiche!$B$4:$B$51,0)),FALSE)</f>
        <v/>
      </c>
      <c r="L141" s="26">
        <f>IFERROR(INDEX(Classifiche!$O$4:$O$51,MATCH(E141,Classifiche!$B$4:$B$51,0)),FALSE)</f>
        <v/>
      </c>
      <c r="M141" s="26">
        <f>IFERROR(INDEX(Classifiche!$V$4:$V$15,MATCH(C141,Classifiche!$U$4:$U$15,0)),FALSE)</f>
        <v/>
      </c>
      <c r="N141" s="26">
        <f>AND(I141,J141)</f>
        <v/>
      </c>
      <c r="O141" s="25">
        <f>IF(N141,IF(M141,"VINTA (def.)","In vincita"),IF(OR(K141,L141,M141),"PERSA (def.)","In perdita"))</f>
        <v/>
      </c>
      <c r="P141" s="26">
        <f>IF(OR(AND(N141,M141),AND(NOT(N141),OR(K141,L141,M141))),"SI","NO")</f>
        <v/>
      </c>
      <c r="Q141">
        <f>IF(N141,1,0)</f>
        <v/>
      </c>
      <c r="R141">
        <f>IF(OR(K141,L141,AND(M141,NOT(N141))),1,0)</f>
        <v/>
      </c>
      <c r="S141">
        <f>IF(N141,IF(M141,2,1),IF(OR(K141,L141,M141),-2,-1))</f>
        <v/>
      </c>
    </row>
    <row r="142">
      <c r="A142" s="26" t="n">
        <v>9</v>
      </c>
      <c r="B142" s="26" t="n">
        <v>8</v>
      </c>
      <c r="C142" s="26" t="inlineStr">
        <is>
          <t>D</t>
        </is>
      </c>
      <c r="D142" s="25" t="inlineStr">
        <is>
          <t>Turchia</t>
        </is>
      </c>
      <c r="E142" s="25" t="inlineStr">
        <is>
          <t>Paraguay</t>
        </is>
      </c>
      <c r="F142" s="29" t="n">
        <v>4.5</v>
      </c>
      <c r="G142" s="26">
        <f>IFERROR(INDEX(Classifiche!$L$4:$L$51,MATCH(D142,Classifiche!$B$4:$B$51,0)),"")</f>
        <v/>
      </c>
      <c r="H142" s="26">
        <f>IFERROR(INDEX(Classifiche!$L$4:$L$51,MATCH(E142,Classifiche!$B$4:$B$51,0)),"")</f>
        <v/>
      </c>
      <c r="I142" s="26">
        <f>IFERROR(INDEX(Classifiche!$M$4:$M$51,MATCH(D142,Classifiche!$B$4:$B$51,0)),FALSE)</f>
        <v/>
      </c>
      <c r="J142" s="26">
        <f>IFERROR(INDEX(Classifiche!$M$4:$M$51,MATCH(E142,Classifiche!$B$4:$B$51,0)),FALSE)</f>
        <v/>
      </c>
      <c r="K142" s="26">
        <f>IFERROR(INDEX(Classifiche!$O$4:$O$51,MATCH(D142,Classifiche!$B$4:$B$51,0)),FALSE)</f>
        <v/>
      </c>
      <c r="L142" s="26">
        <f>IFERROR(INDEX(Classifiche!$O$4:$O$51,MATCH(E142,Classifiche!$B$4:$B$51,0)),FALSE)</f>
        <v/>
      </c>
      <c r="M142" s="26">
        <f>IFERROR(INDEX(Classifiche!$V$4:$V$15,MATCH(C142,Classifiche!$U$4:$U$15,0)),FALSE)</f>
        <v/>
      </c>
      <c r="N142" s="26">
        <f>AND(I142,J142)</f>
        <v/>
      </c>
      <c r="O142" s="25">
        <f>IF(N142,IF(M142,"VINTA (def.)","In vincita"),IF(OR(K142,L142,M142),"PERSA (def.)","In perdita"))</f>
        <v/>
      </c>
      <c r="P142" s="26">
        <f>IF(OR(AND(N142,M142),AND(NOT(N142),OR(K142,L142,M142))),"SI","NO")</f>
        <v/>
      </c>
      <c r="Q142">
        <f>IF(N142,1,0)</f>
        <v/>
      </c>
      <c r="R142">
        <f>IF(OR(K142,L142,AND(M142,NOT(N142))),1,0)</f>
        <v/>
      </c>
      <c r="S142">
        <f>IF(N142,IF(M142,2,1),IF(OR(K142,L142,M142),-2,-1))</f>
        <v/>
      </c>
    </row>
    <row r="143">
      <c r="A143" s="26" t="n">
        <v>9</v>
      </c>
      <c r="B143" s="26" t="n">
        <v>9</v>
      </c>
      <c r="C143" s="26" t="inlineStr">
        <is>
          <t>I</t>
        </is>
      </c>
      <c r="D143" s="25" t="inlineStr">
        <is>
          <t>Francia</t>
        </is>
      </c>
      <c r="E143" s="25" t="inlineStr">
        <is>
          <t>Senegal</t>
        </is>
      </c>
      <c r="F143" s="29" t="n">
        <v>2.5</v>
      </c>
      <c r="G143" s="26">
        <f>IFERROR(INDEX(Classifiche!$L$4:$L$51,MATCH(D143,Classifiche!$B$4:$B$51,0)),"")</f>
        <v/>
      </c>
      <c r="H143" s="26">
        <f>IFERROR(INDEX(Classifiche!$L$4:$L$51,MATCH(E143,Classifiche!$B$4:$B$51,0)),"")</f>
        <v/>
      </c>
      <c r="I143" s="26">
        <f>IFERROR(INDEX(Classifiche!$M$4:$M$51,MATCH(D143,Classifiche!$B$4:$B$51,0)),FALSE)</f>
        <v/>
      </c>
      <c r="J143" s="26">
        <f>IFERROR(INDEX(Classifiche!$M$4:$M$51,MATCH(E143,Classifiche!$B$4:$B$51,0)),FALSE)</f>
        <v/>
      </c>
      <c r="K143" s="26">
        <f>IFERROR(INDEX(Classifiche!$O$4:$O$51,MATCH(D143,Classifiche!$B$4:$B$51,0)),FALSE)</f>
        <v/>
      </c>
      <c r="L143" s="26">
        <f>IFERROR(INDEX(Classifiche!$O$4:$O$51,MATCH(E143,Classifiche!$B$4:$B$51,0)),FALSE)</f>
        <v/>
      </c>
      <c r="M143" s="26">
        <f>IFERROR(INDEX(Classifiche!$V$4:$V$15,MATCH(C143,Classifiche!$U$4:$U$15,0)),FALSE)</f>
        <v/>
      </c>
      <c r="N143" s="26">
        <f>AND(I143,J143)</f>
        <v/>
      </c>
      <c r="O143" s="25">
        <f>IF(N143,IF(M143,"VINTA (def.)","In vincita"),IF(OR(K143,L143,M143),"PERSA (def.)","In perdita"))</f>
        <v/>
      </c>
      <c r="P143" s="26">
        <f>IF(OR(AND(N143,M143),AND(NOT(N143),OR(K143,L143,M143))),"SI","NO")</f>
        <v/>
      </c>
      <c r="Q143">
        <f>IF(N143,1,0)</f>
        <v/>
      </c>
      <c r="R143">
        <f>IF(OR(K143,L143,AND(M143,NOT(N143))),1,0)</f>
        <v/>
      </c>
      <c r="S143">
        <f>IF(N143,IF(M143,2,1),IF(OR(K143,L143,M143),-2,-1))</f>
        <v/>
      </c>
    </row>
    <row r="144">
      <c r="A144" s="26" t="n">
        <v>9</v>
      </c>
      <c r="B144" s="26" t="n">
        <v>10</v>
      </c>
      <c r="C144" s="26" t="inlineStr">
        <is>
          <t>H</t>
        </is>
      </c>
      <c r="D144" s="25" t="inlineStr">
        <is>
          <t>Spagna</t>
        </is>
      </c>
      <c r="E144" s="25" t="inlineStr">
        <is>
          <t>Arabia Saudita</t>
        </is>
      </c>
      <c r="F144" s="29" t="n">
        <v>3.5</v>
      </c>
      <c r="G144" s="26">
        <f>IFERROR(INDEX(Classifiche!$L$4:$L$51,MATCH(D144,Classifiche!$B$4:$B$51,0)),"")</f>
        <v/>
      </c>
      <c r="H144" s="26">
        <f>IFERROR(INDEX(Classifiche!$L$4:$L$51,MATCH(E144,Classifiche!$B$4:$B$51,0)),"")</f>
        <v/>
      </c>
      <c r="I144" s="26">
        <f>IFERROR(INDEX(Classifiche!$M$4:$M$51,MATCH(D144,Classifiche!$B$4:$B$51,0)),FALSE)</f>
        <v/>
      </c>
      <c r="J144" s="26">
        <f>IFERROR(INDEX(Classifiche!$M$4:$M$51,MATCH(E144,Classifiche!$B$4:$B$51,0)),FALSE)</f>
        <v/>
      </c>
      <c r="K144" s="26">
        <f>IFERROR(INDEX(Classifiche!$O$4:$O$51,MATCH(D144,Classifiche!$B$4:$B$51,0)),FALSE)</f>
        <v/>
      </c>
      <c r="L144" s="26">
        <f>IFERROR(INDEX(Classifiche!$O$4:$O$51,MATCH(E144,Classifiche!$B$4:$B$51,0)),FALSE)</f>
        <v/>
      </c>
      <c r="M144" s="26">
        <f>IFERROR(INDEX(Classifiche!$V$4:$V$15,MATCH(C144,Classifiche!$U$4:$U$15,0)),FALSE)</f>
        <v/>
      </c>
      <c r="N144" s="26">
        <f>AND(I144,J144)</f>
        <v/>
      </c>
      <c r="O144" s="25">
        <f>IF(N144,IF(M144,"VINTA (def.)","In vincita"),IF(OR(K144,L144,M144),"PERSA (def.)","In perdita"))</f>
        <v/>
      </c>
      <c r="P144" s="26">
        <f>IF(OR(AND(N144,M144),AND(NOT(N144),OR(K144,L144,M144))),"SI","NO")</f>
        <v/>
      </c>
      <c r="Q144">
        <f>IF(N144,1,0)</f>
        <v/>
      </c>
      <c r="R144">
        <f>IF(OR(K144,L144,AND(M144,NOT(N144))),1,0)</f>
        <v/>
      </c>
      <c r="S144">
        <f>IF(N144,IF(M144,2,1),IF(OR(K144,L144,M144),-2,-1))</f>
        <v/>
      </c>
    </row>
    <row r="145">
      <c r="A145" s="26" t="n">
        <v>9</v>
      </c>
      <c r="B145" s="26" t="n">
        <v>11</v>
      </c>
      <c r="C145" s="26" t="inlineStr">
        <is>
          <t>G</t>
        </is>
      </c>
      <c r="D145" s="25" t="inlineStr">
        <is>
          <t>Belgio</t>
        </is>
      </c>
      <c r="E145" s="25" t="inlineStr">
        <is>
          <t>Egitto</t>
        </is>
      </c>
      <c r="F145" s="29" t="n">
        <v>1.85</v>
      </c>
      <c r="G145" s="26">
        <f>IFERROR(INDEX(Classifiche!$L$4:$L$51,MATCH(D145,Classifiche!$B$4:$B$51,0)),"")</f>
        <v/>
      </c>
      <c r="H145" s="26">
        <f>IFERROR(INDEX(Classifiche!$L$4:$L$51,MATCH(E145,Classifiche!$B$4:$B$51,0)),"")</f>
        <v/>
      </c>
      <c r="I145" s="26">
        <f>IFERROR(INDEX(Classifiche!$M$4:$M$51,MATCH(D145,Classifiche!$B$4:$B$51,0)),FALSE)</f>
        <v/>
      </c>
      <c r="J145" s="26">
        <f>IFERROR(INDEX(Classifiche!$M$4:$M$51,MATCH(E145,Classifiche!$B$4:$B$51,0)),FALSE)</f>
        <v/>
      </c>
      <c r="K145" s="26">
        <f>IFERROR(INDEX(Classifiche!$O$4:$O$51,MATCH(D145,Classifiche!$B$4:$B$51,0)),FALSE)</f>
        <v/>
      </c>
      <c r="L145" s="26">
        <f>IFERROR(INDEX(Classifiche!$O$4:$O$51,MATCH(E145,Classifiche!$B$4:$B$51,0)),FALSE)</f>
        <v/>
      </c>
      <c r="M145" s="26">
        <f>IFERROR(INDEX(Classifiche!$V$4:$V$15,MATCH(C145,Classifiche!$U$4:$U$15,0)),FALSE)</f>
        <v/>
      </c>
      <c r="N145" s="26">
        <f>AND(I145,J145)</f>
        <v/>
      </c>
      <c r="O145" s="25">
        <f>IF(N145,IF(M145,"VINTA (def.)","In vincita"),IF(OR(K145,L145,M145),"PERSA (def.)","In perdita"))</f>
        <v/>
      </c>
      <c r="P145" s="26">
        <f>IF(OR(AND(N145,M145),AND(NOT(N145),OR(K145,L145,M145))),"SI","NO")</f>
        <v/>
      </c>
      <c r="Q145">
        <f>IF(N145,1,0)</f>
        <v/>
      </c>
      <c r="R145">
        <f>IF(OR(K145,L145,AND(M145,NOT(N145))),1,0)</f>
        <v/>
      </c>
      <c r="S145">
        <f>IF(N145,IF(M145,2,1),IF(OR(K145,L145,M145),-2,-1))</f>
        <v/>
      </c>
    </row>
    <row r="146">
      <c r="A146" s="26" t="n">
        <v>9</v>
      </c>
      <c r="B146" s="26" t="n">
        <v>12</v>
      </c>
      <c r="C146" s="26" t="inlineStr">
        <is>
          <t>G</t>
        </is>
      </c>
      <c r="D146" s="25" t="inlineStr">
        <is>
          <t>Belgio</t>
        </is>
      </c>
      <c r="E146" s="25" t="inlineStr">
        <is>
          <t>Iran</t>
        </is>
      </c>
      <c r="F146" s="29" t="n">
        <v>2.5</v>
      </c>
      <c r="G146" s="26">
        <f>IFERROR(INDEX(Classifiche!$L$4:$L$51,MATCH(D146,Classifiche!$B$4:$B$51,0)),"")</f>
        <v/>
      </c>
      <c r="H146" s="26">
        <f>IFERROR(INDEX(Classifiche!$L$4:$L$51,MATCH(E146,Classifiche!$B$4:$B$51,0)),"")</f>
        <v/>
      </c>
      <c r="I146" s="26">
        <f>IFERROR(INDEX(Classifiche!$M$4:$M$51,MATCH(D146,Classifiche!$B$4:$B$51,0)),FALSE)</f>
        <v/>
      </c>
      <c r="J146" s="26">
        <f>IFERROR(INDEX(Classifiche!$M$4:$M$51,MATCH(E146,Classifiche!$B$4:$B$51,0)),FALSE)</f>
        <v/>
      </c>
      <c r="K146" s="26">
        <f>IFERROR(INDEX(Classifiche!$O$4:$O$51,MATCH(D146,Classifiche!$B$4:$B$51,0)),FALSE)</f>
        <v/>
      </c>
      <c r="L146" s="26">
        <f>IFERROR(INDEX(Classifiche!$O$4:$O$51,MATCH(E146,Classifiche!$B$4:$B$51,0)),FALSE)</f>
        <v/>
      </c>
      <c r="M146" s="26">
        <f>IFERROR(INDEX(Classifiche!$V$4:$V$15,MATCH(C146,Classifiche!$U$4:$U$15,0)),FALSE)</f>
        <v/>
      </c>
      <c r="N146" s="26">
        <f>AND(I146,J146)</f>
        <v/>
      </c>
      <c r="O146" s="25">
        <f>IF(N146,IF(M146,"VINTA (def.)","In vincita"),IF(OR(K146,L146,M146),"PERSA (def.)","In perdita"))</f>
        <v/>
      </c>
      <c r="P146" s="26">
        <f>IF(OR(AND(N146,M146),AND(NOT(N146),OR(K146,L146,M146))),"SI","NO")</f>
        <v/>
      </c>
      <c r="Q146">
        <f>IF(N146,1,0)</f>
        <v/>
      </c>
      <c r="R146">
        <f>IF(OR(K146,L146,AND(M146,NOT(N146))),1,0)</f>
        <v/>
      </c>
      <c r="S146">
        <f>IF(N146,IF(M146,2,1),IF(OR(K146,L146,M146),-2,-1))</f>
        <v/>
      </c>
    </row>
    <row r="147">
      <c r="A147" s="26" t="n">
        <v>9</v>
      </c>
      <c r="B147" s="26" t="n">
        <v>13</v>
      </c>
      <c r="C147" s="26" t="inlineStr">
        <is>
          <t>G</t>
        </is>
      </c>
      <c r="D147" s="25" t="inlineStr">
        <is>
          <t>Belgio</t>
        </is>
      </c>
      <c r="E147" s="25" t="inlineStr">
        <is>
          <t>Nuova Zelanda</t>
        </is>
      </c>
      <c r="F147" s="29" t="n">
        <v>7.5</v>
      </c>
      <c r="G147" s="26">
        <f>IFERROR(INDEX(Classifiche!$L$4:$L$51,MATCH(D147,Classifiche!$B$4:$B$51,0)),"")</f>
        <v/>
      </c>
      <c r="H147" s="26">
        <f>IFERROR(INDEX(Classifiche!$L$4:$L$51,MATCH(E147,Classifiche!$B$4:$B$51,0)),"")</f>
        <v/>
      </c>
      <c r="I147" s="26">
        <f>IFERROR(INDEX(Classifiche!$M$4:$M$51,MATCH(D147,Classifiche!$B$4:$B$51,0)),FALSE)</f>
        <v/>
      </c>
      <c r="J147" s="26">
        <f>IFERROR(INDEX(Classifiche!$M$4:$M$51,MATCH(E147,Classifiche!$B$4:$B$51,0)),FALSE)</f>
        <v/>
      </c>
      <c r="K147" s="26">
        <f>IFERROR(INDEX(Classifiche!$O$4:$O$51,MATCH(D147,Classifiche!$B$4:$B$51,0)),FALSE)</f>
        <v/>
      </c>
      <c r="L147" s="26">
        <f>IFERROR(INDEX(Classifiche!$O$4:$O$51,MATCH(E147,Classifiche!$B$4:$B$51,0)),FALSE)</f>
        <v/>
      </c>
      <c r="M147" s="26">
        <f>IFERROR(INDEX(Classifiche!$V$4:$V$15,MATCH(C147,Classifiche!$U$4:$U$15,0)),FALSE)</f>
        <v/>
      </c>
      <c r="N147" s="26">
        <f>AND(I147,J147)</f>
        <v/>
      </c>
      <c r="O147" s="25">
        <f>IF(N147,IF(M147,"VINTA (def.)","In vincita"),IF(OR(K147,L147,M147),"PERSA (def.)","In perdita"))</f>
        <v/>
      </c>
      <c r="P147" s="26">
        <f>IF(OR(AND(N147,M147),AND(NOT(N147),OR(K147,L147,M147))),"SI","NO")</f>
        <v/>
      </c>
      <c r="Q147">
        <f>IF(N147,1,0)</f>
        <v/>
      </c>
      <c r="R147">
        <f>IF(OR(K147,L147,AND(M147,NOT(N147))),1,0)</f>
        <v/>
      </c>
      <c r="S147">
        <f>IF(N147,IF(M147,2,1),IF(OR(K147,L147,M147),-2,-1))</f>
        <v/>
      </c>
    </row>
    <row r="148">
      <c r="A148" s="26" t="n">
        <v>9</v>
      </c>
      <c r="B148" s="26" t="n">
        <v>14</v>
      </c>
      <c r="C148" s="26" t="inlineStr">
        <is>
          <t>L</t>
        </is>
      </c>
      <c r="D148" s="25" t="inlineStr">
        <is>
          <t>Inghilterra</t>
        </is>
      </c>
      <c r="E148" s="25" t="inlineStr">
        <is>
          <t>Ghana</t>
        </is>
      </c>
      <c r="F148" s="29" t="n">
        <v>3.5</v>
      </c>
      <c r="G148" s="26">
        <f>IFERROR(INDEX(Classifiche!$L$4:$L$51,MATCH(D148,Classifiche!$B$4:$B$51,0)),"")</f>
        <v/>
      </c>
      <c r="H148" s="26">
        <f>IFERROR(INDEX(Classifiche!$L$4:$L$51,MATCH(E148,Classifiche!$B$4:$B$51,0)),"")</f>
        <v/>
      </c>
      <c r="I148" s="26">
        <f>IFERROR(INDEX(Classifiche!$M$4:$M$51,MATCH(D148,Classifiche!$B$4:$B$51,0)),FALSE)</f>
        <v/>
      </c>
      <c r="J148" s="26">
        <f>IFERROR(INDEX(Classifiche!$M$4:$M$51,MATCH(E148,Classifiche!$B$4:$B$51,0)),FALSE)</f>
        <v/>
      </c>
      <c r="K148" s="26">
        <f>IFERROR(INDEX(Classifiche!$O$4:$O$51,MATCH(D148,Classifiche!$B$4:$B$51,0)),FALSE)</f>
        <v/>
      </c>
      <c r="L148" s="26">
        <f>IFERROR(INDEX(Classifiche!$O$4:$O$51,MATCH(E148,Classifiche!$B$4:$B$51,0)),FALSE)</f>
        <v/>
      </c>
      <c r="M148" s="26">
        <f>IFERROR(INDEX(Classifiche!$V$4:$V$15,MATCH(C148,Classifiche!$U$4:$U$15,0)),FALSE)</f>
        <v/>
      </c>
      <c r="N148" s="26">
        <f>AND(I148,J148)</f>
        <v/>
      </c>
      <c r="O148" s="25">
        <f>IF(N148,IF(M148,"VINTA (def.)","In vincita"),IF(OR(K148,L148,M148),"PERSA (def.)","In perdita"))</f>
        <v/>
      </c>
      <c r="P148" s="26">
        <f>IF(OR(AND(N148,M148),AND(NOT(N148),OR(K148,L148,M148))),"SI","NO")</f>
        <v/>
      </c>
      <c r="Q148">
        <f>IF(N148,1,0)</f>
        <v/>
      </c>
      <c r="R148">
        <f>IF(OR(K148,L148,AND(M148,NOT(N148))),1,0)</f>
        <v/>
      </c>
      <c r="S148">
        <f>IF(N148,IF(M148,2,1),IF(OR(K148,L148,M148),-2,-1))</f>
        <v/>
      </c>
    </row>
    <row r="149">
      <c r="A149" s="26" t="n">
        <v>9</v>
      </c>
      <c r="B149" s="26" t="n">
        <v>15</v>
      </c>
      <c r="C149" s="26" t="inlineStr">
        <is>
          <t>K</t>
        </is>
      </c>
      <c r="D149" s="25" t="inlineStr">
        <is>
          <t>Portogallo</t>
        </is>
      </c>
      <c r="E149" s="25" t="inlineStr">
        <is>
          <t>Colombia</t>
        </is>
      </c>
      <c r="F149" s="29" t="n">
        <v>1.25</v>
      </c>
      <c r="G149" s="26">
        <f>IFERROR(INDEX(Classifiche!$L$4:$L$51,MATCH(D149,Classifiche!$B$4:$B$51,0)),"")</f>
        <v/>
      </c>
      <c r="H149" s="26">
        <f>IFERROR(INDEX(Classifiche!$L$4:$L$51,MATCH(E149,Classifiche!$B$4:$B$51,0)),"")</f>
        <v/>
      </c>
      <c r="I149" s="26">
        <f>IFERROR(INDEX(Classifiche!$M$4:$M$51,MATCH(D149,Classifiche!$B$4:$B$51,0)),FALSE)</f>
        <v/>
      </c>
      <c r="J149" s="26">
        <f>IFERROR(INDEX(Classifiche!$M$4:$M$51,MATCH(E149,Classifiche!$B$4:$B$51,0)),FALSE)</f>
        <v/>
      </c>
      <c r="K149" s="26">
        <f>IFERROR(INDEX(Classifiche!$O$4:$O$51,MATCH(D149,Classifiche!$B$4:$B$51,0)),FALSE)</f>
        <v/>
      </c>
      <c r="L149" s="26">
        <f>IFERROR(INDEX(Classifiche!$O$4:$O$51,MATCH(E149,Classifiche!$B$4:$B$51,0)),FALSE)</f>
        <v/>
      </c>
      <c r="M149" s="26">
        <f>IFERROR(INDEX(Classifiche!$V$4:$V$15,MATCH(C149,Classifiche!$U$4:$U$15,0)),FALSE)</f>
        <v/>
      </c>
      <c r="N149" s="26">
        <f>AND(I149,J149)</f>
        <v/>
      </c>
      <c r="O149" s="25">
        <f>IF(N149,IF(M149,"VINTA (def.)","In vincita"),IF(OR(K149,L149,M149),"PERSA (def.)","In perdita"))</f>
        <v/>
      </c>
      <c r="P149" s="26">
        <f>IF(OR(AND(N149,M149),AND(NOT(N149),OR(K149,L149,M149))),"SI","NO")</f>
        <v/>
      </c>
      <c r="Q149">
        <f>IF(N149,1,0)</f>
        <v/>
      </c>
      <c r="R149">
        <f>IF(OR(K149,L149,AND(M149,NOT(N149))),1,0)</f>
        <v/>
      </c>
      <c r="S149">
        <f>IF(N149,IF(M149,2,1),IF(OR(K149,L149,M149),-2,-1))</f>
        <v/>
      </c>
    </row>
    <row r="150">
      <c r="A150" s="26" t="n">
        <v>9</v>
      </c>
      <c r="B150" s="26" t="n">
        <v>16</v>
      </c>
      <c r="C150" s="26" t="inlineStr">
        <is>
          <t>K</t>
        </is>
      </c>
      <c r="D150" s="25" t="inlineStr">
        <is>
          <t>Portogallo</t>
        </is>
      </c>
      <c r="E150" s="25" t="inlineStr">
        <is>
          <t>Rd Congo</t>
        </is>
      </c>
      <c r="F150" s="29" t="n">
        <v>4.5</v>
      </c>
      <c r="G150" s="26">
        <f>IFERROR(INDEX(Classifiche!$L$4:$L$51,MATCH(D150,Classifiche!$B$4:$B$51,0)),"")</f>
        <v/>
      </c>
      <c r="H150" s="26">
        <f>IFERROR(INDEX(Classifiche!$L$4:$L$51,MATCH(E150,Classifiche!$B$4:$B$51,0)),"")</f>
        <v/>
      </c>
      <c r="I150" s="26">
        <f>IFERROR(INDEX(Classifiche!$M$4:$M$51,MATCH(D150,Classifiche!$B$4:$B$51,0)),FALSE)</f>
        <v/>
      </c>
      <c r="J150" s="26">
        <f>IFERROR(INDEX(Classifiche!$M$4:$M$51,MATCH(E150,Classifiche!$B$4:$B$51,0)),FALSE)</f>
        <v/>
      </c>
      <c r="K150" s="26">
        <f>IFERROR(INDEX(Classifiche!$O$4:$O$51,MATCH(D150,Classifiche!$B$4:$B$51,0)),FALSE)</f>
        <v/>
      </c>
      <c r="L150" s="26">
        <f>IFERROR(INDEX(Classifiche!$O$4:$O$51,MATCH(E150,Classifiche!$B$4:$B$51,0)),FALSE)</f>
        <v/>
      </c>
      <c r="M150" s="26">
        <f>IFERROR(INDEX(Classifiche!$V$4:$V$15,MATCH(C150,Classifiche!$U$4:$U$15,0)),FALSE)</f>
        <v/>
      </c>
      <c r="N150" s="26">
        <f>AND(I150,J150)</f>
        <v/>
      </c>
      <c r="O150" s="25">
        <f>IF(N150,IF(M150,"VINTA (def.)","In vincita"),IF(OR(K150,L150,M150),"PERSA (def.)","In perdita"))</f>
        <v/>
      </c>
      <c r="P150" s="26">
        <f>IF(OR(AND(N150,M150),AND(NOT(N150),OR(K150,L150,M150))),"SI","NO")</f>
        <v/>
      </c>
      <c r="Q150">
        <f>IF(N150,1,0)</f>
        <v/>
      </c>
      <c r="R150">
        <f>IF(OR(K150,L150,AND(M150,NOT(N150))),1,0)</f>
        <v/>
      </c>
      <c r="S150">
        <f>IF(N150,IF(M150,2,1),IF(OR(K150,L150,M150),-2,-1))</f>
        <v/>
      </c>
    </row>
    <row r="151">
      <c r="A151" s="26" t="n">
        <v>9</v>
      </c>
      <c r="B151" s="26" t="n">
        <v>17</v>
      </c>
      <c r="C151" s="26" t="inlineStr">
        <is>
          <t>J</t>
        </is>
      </c>
      <c r="D151" s="25" t="inlineStr">
        <is>
          <t>Argentina</t>
        </is>
      </c>
      <c r="E151" s="25" t="inlineStr">
        <is>
          <t>Algeria</t>
        </is>
      </c>
      <c r="F151" s="29" t="n">
        <v>2.25</v>
      </c>
      <c r="G151" s="26">
        <f>IFERROR(INDEX(Classifiche!$L$4:$L$51,MATCH(D151,Classifiche!$B$4:$B$51,0)),"")</f>
        <v/>
      </c>
      <c r="H151" s="26">
        <f>IFERROR(INDEX(Classifiche!$L$4:$L$51,MATCH(E151,Classifiche!$B$4:$B$51,0)),"")</f>
        <v/>
      </c>
      <c r="I151" s="26">
        <f>IFERROR(INDEX(Classifiche!$M$4:$M$51,MATCH(D151,Classifiche!$B$4:$B$51,0)),FALSE)</f>
        <v/>
      </c>
      <c r="J151" s="26">
        <f>IFERROR(INDEX(Classifiche!$M$4:$M$51,MATCH(E151,Classifiche!$B$4:$B$51,0)),FALSE)</f>
        <v/>
      </c>
      <c r="K151" s="26">
        <f>IFERROR(INDEX(Classifiche!$O$4:$O$51,MATCH(D151,Classifiche!$B$4:$B$51,0)),FALSE)</f>
        <v/>
      </c>
      <c r="L151" s="26">
        <f>IFERROR(INDEX(Classifiche!$O$4:$O$51,MATCH(E151,Classifiche!$B$4:$B$51,0)),FALSE)</f>
        <v/>
      </c>
      <c r="M151" s="26">
        <f>IFERROR(INDEX(Classifiche!$V$4:$V$15,MATCH(C151,Classifiche!$U$4:$U$15,0)),FALSE)</f>
        <v/>
      </c>
      <c r="N151" s="26">
        <f>AND(I151,J151)</f>
        <v/>
      </c>
      <c r="O151" s="25">
        <f>IF(N151,IF(M151,"VINTA (def.)","In vincita"),IF(OR(K151,L151,M151),"PERSA (def.)","In perdita"))</f>
        <v/>
      </c>
      <c r="P151" s="26">
        <f>IF(OR(AND(N151,M151),AND(NOT(N151),OR(K151,L151,M151))),"SI","NO")</f>
        <v/>
      </c>
      <c r="Q151">
        <f>IF(N151,1,0)</f>
        <v/>
      </c>
      <c r="R151">
        <f>IF(OR(K151,L151,AND(M151,NOT(N151))),1,0)</f>
        <v/>
      </c>
      <c r="S151">
        <f>IF(N151,IF(M151,2,1),IF(OR(K151,L151,M151),-2,-1))</f>
        <v/>
      </c>
    </row>
  </sheetData>
  <conditionalFormatting sqref="A2:P151">
    <cfRule type="expression" priority="1" dxfId="4" stopIfTrue="1">
      <formula>$S2=2</formula>
    </cfRule>
    <cfRule type="expression" priority="2" dxfId="0" stopIfTrue="1">
      <formula>$S2=1</formula>
    </cfRule>
    <cfRule type="expression" priority="3" dxfId="5" stopIfTrue="1">
      <formula>$S2=-2</formula>
    </cfRule>
    <cfRule type="expression" priority="4" dxfId="3" stopIfTrue="1">
      <formula>$S2=-1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" customWidth="1" min="3" max="3"/>
    <col width="4" customWidth="1" min="4" max="4"/>
    <col width="4" customWidth="1" min="5" max="5"/>
    <col width="5" customWidth="1" min="6" max="6"/>
    <col width="5" customWidth="1" min="7" max="7"/>
    <col width="5" customWidth="1" min="8" max="8"/>
    <col width="6" customWidth="1" min="9" max="9"/>
    <col width="5" customWidth="1" min="10" max="10"/>
    <col width="7" customWidth="1" min="11" max="11"/>
    <col width="5" customWidth="1" min="12" max="12"/>
    <col width="8" customWidth="1" min="13" max="13"/>
    <col width="7" customWidth="1" min="14" max="14"/>
    <col width="7" customWidth="1" min="15" max="15"/>
    <col width="16" customWidth="1" min="16" max="16"/>
    <col width="18" customWidth="1" min="17" max="17"/>
    <col hidden="1" width="6" customWidth="1" min="18" max="18"/>
    <col hidden="1" width="6" customWidth="1" min="19" max="19"/>
    <col hidden="1" width="13" customWidth="1" min="20" max="20"/>
    <col width="8" customWidth="1" min="21" max="21"/>
    <col width="11" customWidth="1" min="22" max="22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</cols>
  <sheetData>
    <row r="1">
      <c r="A1" s="1" t="inlineStr">
        <is>
          <t>CLASSIFICHE GIRONI - Mondiali 2026</t>
        </is>
      </c>
      <c r="K1" s="2" t="inlineStr">
        <is>
          <t>Ultimo aggiornamento:</t>
        </is>
      </c>
      <c r="M1" s="30">
        <f>Config!$B$2</f>
        <v/>
      </c>
    </row>
    <row r="2">
      <c r="A2" s="4" t="inlineStr">
        <is>
          <t>Dati live da football-data.org (Apps Script). In modalita' SIM (Config!B1=ON) i risultati NON vengono sovrascritti: modificali a mano nelle celle gialle.</t>
        </is>
      </c>
      <c r="K2" s="2" t="inlineStr">
        <is>
          <t>Stato:</t>
        </is>
      </c>
      <c r="M2" s="31">
        <f>Config!$B$3</f>
        <v/>
      </c>
    </row>
    <row r="3">
      <c r="A3" s="28" t="inlineStr">
        <is>
          <t>Gruppo</t>
        </is>
      </c>
      <c r="B3" s="28" t="inlineStr">
        <is>
          <t>Squadra</t>
        </is>
      </c>
      <c r="C3" s="28" t="inlineStr">
        <is>
          <t>V</t>
        </is>
      </c>
      <c r="D3" s="28" t="inlineStr">
        <is>
          <t>N</t>
        </is>
      </c>
      <c r="E3" s="28" t="inlineStr">
        <is>
          <t>P</t>
        </is>
      </c>
      <c r="F3" s="28" t="inlineStr">
        <is>
          <t>GF</t>
        </is>
      </c>
      <c r="G3" s="28" t="inlineStr">
        <is>
          <t>GS</t>
        </is>
      </c>
      <c r="H3" s="28" t="inlineStr">
        <is>
          <t>PG</t>
        </is>
      </c>
      <c r="I3" s="28" t="inlineStr">
        <is>
          <t>Punti</t>
        </is>
      </c>
      <c r="J3" s="28" t="inlineStr">
        <is>
          <t>DR</t>
        </is>
      </c>
      <c r="K3" s="28" t="inlineStr">
        <is>
          <t>Score</t>
        </is>
      </c>
      <c r="L3" s="28" t="inlineStr">
        <is>
          <t>Pos</t>
        </is>
      </c>
      <c r="M3" s="28" t="inlineStr">
        <is>
          <t>Qualif.</t>
        </is>
      </c>
      <c r="N3" s="28" t="inlineStr">
        <is>
          <t>MaxPti</t>
        </is>
      </c>
      <c r="O3" s="28" t="inlineStr">
        <is>
          <t>Elim.</t>
        </is>
      </c>
      <c r="P3" s="28" t="inlineStr">
        <is>
          <t>Esito</t>
        </is>
      </c>
      <c r="Q3" s="28" t="inlineStr">
        <is>
          <t>Obbligo scommesse</t>
        </is>
      </c>
      <c r="R3" s="28" t="inlineStr">
        <is>
          <t>_app</t>
        </is>
      </c>
      <c r="S3" s="28" t="inlineStr">
        <is>
          <t>_tot</t>
        </is>
      </c>
      <c r="T3" s="32" t="inlineStr">
        <is>
          <t>PosUff</t>
        </is>
      </c>
      <c r="U3" s="33" t="inlineStr">
        <is>
          <t>Gruppo</t>
        </is>
      </c>
      <c r="V3" s="33" t="inlineStr">
        <is>
          <t>Completato</t>
        </is>
      </c>
    </row>
    <row r="4">
      <c r="A4" s="26" t="inlineStr">
        <is>
          <t>A</t>
        </is>
      </c>
      <c r="B4" s="25" t="inlineStr">
        <is>
          <t>Messico</t>
        </is>
      </c>
      <c r="C4" s="34" t="n">
        <v>0</v>
      </c>
      <c r="D4" s="34" t="n">
        <v>0</v>
      </c>
      <c r="E4" s="34" t="n">
        <v>0</v>
      </c>
      <c r="F4" s="34" t="n">
        <v>0</v>
      </c>
      <c r="G4" s="34" t="n">
        <v>0</v>
      </c>
      <c r="H4" s="26">
        <f>C4+D4+E4</f>
        <v/>
      </c>
      <c r="I4" s="26">
        <f>C4*3+D4</f>
        <v/>
      </c>
      <c r="J4" s="26">
        <f>F4-G4</f>
        <v/>
      </c>
      <c r="K4" s="26">
        <f>$I4*1000000000+($J4+1000)*100000+$F4*100+(51-ROW())</f>
        <v/>
      </c>
      <c r="L4" s="26">
        <f>IF($T4&gt;0,$T4,SUMPRODUCT(($A$4:$A$51=$A4)*($K$4:$K$51&gt;$K4))+1)</f>
        <v/>
      </c>
      <c r="M4" s="26">
        <f>($L4&lt;=2)</f>
        <v/>
      </c>
      <c r="N4" s="26">
        <f>$I4+(3-$H4)*3</f>
        <v/>
      </c>
      <c r="O4" s="26">
        <f>SUMPRODUCT(($A$4:$A$51=$A4)*($I$4:$I$51&gt;$N4))&gt;=2</f>
        <v/>
      </c>
      <c r="P4" s="25">
        <f>IF(SUMPRODUCT(($A$4:$A$51=$A4)*($H$4:$H$51&lt;3))=0,IF($M4,"Qualificata","Eliminata"),IF($O4,"Fuori dai giochi",IF($M4,"In zona qualif.","In corsa")))</f>
        <v/>
      </c>
      <c r="Q4" s="25">
        <f>IF($S4=0,"",IF($R4=0,"NON deve passare",IF($R4&gt;=$S4,"DEVE passare","contesa")))</f>
        <v/>
      </c>
      <c r="R4">
        <f>COUNTIF(Scommesse!$D$2:$D$151,$B4)+COUNTIF(Scommesse!$E$2:$E$151,$B4)</f>
        <v/>
      </c>
      <c r="S4">
        <f>COUNTIF(Scommesse!$C$2:$C$151,$A4)</f>
        <v/>
      </c>
      <c r="U4" s="26" t="inlineStr">
        <is>
          <t>A</t>
        </is>
      </c>
      <c r="V4" s="26">
        <f>SUMPRODUCT(($A$4:$A$51=$U4)*($H$4:$H$51&lt;3))=0</f>
        <v/>
      </c>
      <c r="X4">
        <f>$L4</f>
        <v/>
      </c>
      <c r="Y4">
        <f>$B4</f>
        <v/>
      </c>
      <c r="Z4">
        <f>$I4</f>
        <v/>
      </c>
      <c r="AA4">
        <f>MAX(0,3-$H4)</f>
        <v/>
      </c>
      <c r="AB4">
        <f>IF($S4=0,"",IF($R4=0,"⛔",IF($R4&gt;=$S4,"✅","·")))</f>
        <v/>
      </c>
      <c r="AC4">
        <f>IF($S4=0,0,IF($R4=0,-1,IF($R4&gt;=$S4,1,0)))</f>
        <v/>
      </c>
    </row>
    <row r="5">
      <c r="A5" s="26" t="inlineStr">
        <is>
          <t>A</t>
        </is>
      </c>
      <c r="B5" s="25" t="inlineStr">
        <is>
          <t>Sudafrica</t>
        </is>
      </c>
      <c r="C5" s="34" t="n">
        <v>0</v>
      </c>
      <c r="D5" s="34" t="n">
        <v>0</v>
      </c>
      <c r="E5" s="34" t="n">
        <v>0</v>
      </c>
      <c r="F5" s="34" t="n">
        <v>0</v>
      </c>
      <c r="G5" s="34" t="n">
        <v>0</v>
      </c>
      <c r="H5" s="26">
        <f>C5+D5+E5</f>
        <v/>
      </c>
      <c r="I5" s="26">
        <f>C5*3+D5</f>
        <v/>
      </c>
      <c r="J5" s="26">
        <f>F5-G5</f>
        <v/>
      </c>
      <c r="K5" s="26">
        <f>$I5*1000000000+($J5+1000)*100000+$F5*100+(51-ROW())</f>
        <v/>
      </c>
      <c r="L5" s="26">
        <f>IF($T5&gt;0,$T5,SUMPRODUCT(($A$4:$A$51=$A5)*($K$4:$K$51&gt;$K5))+1)</f>
        <v/>
      </c>
      <c r="M5" s="26">
        <f>($L5&lt;=2)</f>
        <v/>
      </c>
      <c r="N5" s="26">
        <f>$I5+(3-$H5)*3</f>
        <v/>
      </c>
      <c r="O5" s="26">
        <f>SUMPRODUCT(($A$4:$A$51=$A5)*($I$4:$I$51&gt;$N5))&gt;=2</f>
        <v/>
      </c>
      <c r="P5" s="25">
        <f>IF(SUMPRODUCT(($A$4:$A$51=$A5)*($H$4:$H$51&lt;3))=0,IF($M5,"Qualificata","Eliminata"),IF($O5,"Fuori dai giochi",IF($M5,"In zona qualif.","In corsa")))</f>
        <v/>
      </c>
      <c r="Q5" s="25">
        <f>IF($S5=0,"",IF($R5=0,"NON deve passare",IF($R5&gt;=$S5,"DEVE passare","contesa")))</f>
        <v/>
      </c>
      <c r="R5">
        <f>COUNTIF(Scommesse!$D$2:$D$151,$B5)+COUNTIF(Scommesse!$E$2:$E$151,$B5)</f>
        <v/>
      </c>
      <c r="S5">
        <f>COUNTIF(Scommesse!$C$2:$C$151,$A5)</f>
        <v/>
      </c>
      <c r="U5" s="26" t="inlineStr">
        <is>
          <t>B</t>
        </is>
      </c>
      <c r="V5" s="26">
        <f>SUMPRODUCT(($A$4:$A$51=$U5)*($H$4:$H$51&lt;3))=0</f>
        <v/>
      </c>
      <c r="X5">
        <f>$L5</f>
        <v/>
      </c>
      <c r="Y5">
        <f>$B5</f>
        <v/>
      </c>
      <c r="Z5">
        <f>$I5</f>
        <v/>
      </c>
      <c r="AA5">
        <f>MAX(0,3-$H5)</f>
        <v/>
      </c>
      <c r="AB5">
        <f>IF($S5=0,"",IF($R5=0,"⛔",IF($R5&gt;=$S5,"✅","·")))</f>
        <v/>
      </c>
      <c r="AC5">
        <f>IF($S5=0,0,IF($R5=0,-1,IF($R5&gt;=$S5,1,0)))</f>
        <v/>
      </c>
    </row>
    <row r="6">
      <c r="A6" s="26" t="inlineStr">
        <is>
          <t>A</t>
        </is>
      </c>
      <c r="B6" s="25" t="inlineStr">
        <is>
          <t>Corea del Sud</t>
        </is>
      </c>
      <c r="C6" s="34" t="n">
        <v>0</v>
      </c>
      <c r="D6" s="34" t="n">
        <v>0</v>
      </c>
      <c r="E6" s="34" t="n">
        <v>0</v>
      </c>
      <c r="F6" s="34" t="n">
        <v>0</v>
      </c>
      <c r="G6" s="34" t="n">
        <v>0</v>
      </c>
      <c r="H6" s="26">
        <f>C6+D6+E6</f>
        <v/>
      </c>
      <c r="I6" s="26">
        <f>C6*3+D6</f>
        <v/>
      </c>
      <c r="J6" s="26">
        <f>F6-G6</f>
        <v/>
      </c>
      <c r="K6" s="26">
        <f>$I6*1000000000+($J6+1000)*100000+$F6*100+(51-ROW())</f>
        <v/>
      </c>
      <c r="L6" s="26">
        <f>IF($T6&gt;0,$T6,SUMPRODUCT(($A$4:$A$51=$A6)*($K$4:$K$51&gt;$K6))+1)</f>
        <v/>
      </c>
      <c r="M6" s="26">
        <f>($L6&lt;=2)</f>
        <v/>
      </c>
      <c r="N6" s="26">
        <f>$I6+(3-$H6)*3</f>
        <v/>
      </c>
      <c r="O6" s="26">
        <f>SUMPRODUCT(($A$4:$A$51=$A6)*($I$4:$I$51&gt;$N6))&gt;=2</f>
        <v/>
      </c>
      <c r="P6" s="25">
        <f>IF(SUMPRODUCT(($A$4:$A$51=$A6)*($H$4:$H$51&lt;3))=0,IF($M6,"Qualificata","Eliminata"),IF($O6,"Fuori dai giochi",IF($M6,"In zona qualif.","In corsa")))</f>
        <v/>
      </c>
      <c r="Q6" s="25">
        <f>IF($S6=0,"",IF($R6=0,"NON deve passare",IF($R6&gt;=$S6,"DEVE passare","contesa")))</f>
        <v/>
      </c>
      <c r="R6">
        <f>COUNTIF(Scommesse!$D$2:$D$151,$B6)+COUNTIF(Scommesse!$E$2:$E$151,$B6)</f>
        <v/>
      </c>
      <c r="S6">
        <f>COUNTIF(Scommesse!$C$2:$C$151,$A6)</f>
        <v/>
      </c>
      <c r="U6" s="26" t="inlineStr">
        <is>
          <t>C</t>
        </is>
      </c>
      <c r="V6" s="26">
        <f>SUMPRODUCT(($A$4:$A$51=$U6)*($H$4:$H$51&lt;3))=0</f>
        <v/>
      </c>
      <c r="X6">
        <f>$L6</f>
        <v/>
      </c>
      <c r="Y6">
        <f>$B6</f>
        <v/>
      </c>
      <c r="Z6">
        <f>$I6</f>
        <v/>
      </c>
      <c r="AA6">
        <f>MAX(0,3-$H6)</f>
        <v/>
      </c>
      <c r="AB6">
        <f>IF($S6=0,"",IF($R6=0,"⛔",IF($R6&gt;=$S6,"✅","·")))</f>
        <v/>
      </c>
      <c r="AC6">
        <f>IF($S6=0,0,IF($R6=0,-1,IF($R6&gt;=$S6,1,0)))</f>
        <v/>
      </c>
    </row>
    <row r="7">
      <c r="A7" s="26" t="inlineStr">
        <is>
          <t>A</t>
        </is>
      </c>
      <c r="B7" s="25" t="inlineStr">
        <is>
          <t>Rep. Ceca</t>
        </is>
      </c>
      <c r="C7" s="34" t="n">
        <v>0</v>
      </c>
      <c r="D7" s="34" t="n">
        <v>0</v>
      </c>
      <c r="E7" s="34" t="n">
        <v>0</v>
      </c>
      <c r="F7" s="34" t="n">
        <v>0</v>
      </c>
      <c r="G7" s="34" t="n">
        <v>0</v>
      </c>
      <c r="H7" s="26">
        <f>C7+D7+E7</f>
        <v/>
      </c>
      <c r="I7" s="26">
        <f>C7*3+D7</f>
        <v/>
      </c>
      <c r="J7" s="26">
        <f>F7-G7</f>
        <v/>
      </c>
      <c r="K7" s="26">
        <f>$I7*1000000000+($J7+1000)*100000+$F7*100+(51-ROW())</f>
        <v/>
      </c>
      <c r="L7" s="26">
        <f>IF($T7&gt;0,$T7,SUMPRODUCT(($A$4:$A$51=$A7)*($K$4:$K$51&gt;$K7))+1)</f>
        <v/>
      </c>
      <c r="M7" s="26">
        <f>($L7&lt;=2)</f>
        <v/>
      </c>
      <c r="N7" s="26">
        <f>$I7+(3-$H7)*3</f>
        <v/>
      </c>
      <c r="O7" s="26">
        <f>SUMPRODUCT(($A$4:$A$51=$A7)*($I$4:$I$51&gt;$N7))&gt;=2</f>
        <v/>
      </c>
      <c r="P7" s="25">
        <f>IF(SUMPRODUCT(($A$4:$A$51=$A7)*($H$4:$H$51&lt;3))=0,IF($M7,"Qualificata","Eliminata"),IF($O7,"Fuori dai giochi",IF($M7,"In zona qualif.","In corsa")))</f>
        <v/>
      </c>
      <c r="Q7" s="25">
        <f>IF($S7=0,"",IF($R7=0,"NON deve passare",IF($R7&gt;=$S7,"DEVE passare","contesa")))</f>
        <v/>
      </c>
      <c r="R7">
        <f>COUNTIF(Scommesse!$D$2:$D$151,$B7)+COUNTIF(Scommesse!$E$2:$E$151,$B7)</f>
        <v/>
      </c>
      <c r="S7">
        <f>COUNTIF(Scommesse!$C$2:$C$151,$A7)</f>
        <v/>
      </c>
      <c r="U7" s="26" t="inlineStr">
        <is>
          <t>D</t>
        </is>
      </c>
      <c r="V7" s="26">
        <f>SUMPRODUCT(($A$4:$A$51=$U7)*($H$4:$H$51&lt;3))=0</f>
        <v/>
      </c>
      <c r="X7">
        <f>$L7</f>
        <v/>
      </c>
      <c r="Y7">
        <f>$B7</f>
        <v/>
      </c>
      <c r="Z7">
        <f>$I7</f>
        <v/>
      </c>
      <c r="AA7">
        <f>MAX(0,3-$H7)</f>
        <v/>
      </c>
      <c r="AB7">
        <f>IF($S7=0,"",IF($R7=0,"⛔",IF($R7&gt;=$S7,"✅","·")))</f>
        <v/>
      </c>
      <c r="AC7">
        <f>IF($S7=0,0,IF($R7=0,-1,IF($R7&gt;=$S7,1,0)))</f>
        <v/>
      </c>
    </row>
    <row r="8">
      <c r="A8" s="26" t="inlineStr">
        <is>
          <t>B</t>
        </is>
      </c>
      <c r="B8" s="25" t="inlineStr">
        <is>
          <t>Canada</t>
        </is>
      </c>
      <c r="C8" s="34" t="n">
        <v>0</v>
      </c>
      <c r="D8" s="34" t="n">
        <v>0</v>
      </c>
      <c r="E8" s="34" t="n">
        <v>0</v>
      </c>
      <c r="F8" s="34" t="n">
        <v>0</v>
      </c>
      <c r="G8" s="34" t="n">
        <v>0</v>
      </c>
      <c r="H8" s="26">
        <f>C8+D8+E8</f>
        <v/>
      </c>
      <c r="I8" s="26">
        <f>C8*3+D8</f>
        <v/>
      </c>
      <c r="J8" s="26">
        <f>F8-G8</f>
        <v/>
      </c>
      <c r="K8" s="26">
        <f>$I8*1000000000+($J8+1000)*100000+$F8*100+(51-ROW())</f>
        <v/>
      </c>
      <c r="L8" s="26">
        <f>IF($T8&gt;0,$T8,SUMPRODUCT(($A$4:$A$51=$A8)*($K$4:$K$51&gt;$K8))+1)</f>
        <v/>
      </c>
      <c r="M8" s="26">
        <f>($L8&lt;=2)</f>
        <v/>
      </c>
      <c r="N8" s="26">
        <f>$I8+(3-$H8)*3</f>
        <v/>
      </c>
      <c r="O8" s="26">
        <f>SUMPRODUCT(($A$4:$A$51=$A8)*($I$4:$I$51&gt;$N8))&gt;=2</f>
        <v/>
      </c>
      <c r="P8" s="25">
        <f>IF(SUMPRODUCT(($A$4:$A$51=$A8)*($H$4:$H$51&lt;3))=0,IF($M8,"Qualificata","Eliminata"),IF($O8,"Fuori dai giochi",IF($M8,"In zona qualif.","In corsa")))</f>
        <v/>
      </c>
      <c r="Q8" s="25">
        <f>IF($S8=0,"",IF($R8=0,"NON deve passare",IF($R8&gt;=$S8,"DEVE passare","contesa")))</f>
        <v/>
      </c>
      <c r="R8">
        <f>COUNTIF(Scommesse!$D$2:$D$151,$B8)+COUNTIF(Scommesse!$E$2:$E$151,$B8)</f>
        <v/>
      </c>
      <c r="S8">
        <f>COUNTIF(Scommesse!$C$2:$C$151,$A8)</f>
        <v/>
      </c>
      <c r="U8" s="26" t="inlineStr">
        <is>
          <t>E</t>
        </is>
      </c>
      <c r="V8" s="26">
        <f>SUMPRODUCT(($A$4:$A$51=$U8)*($H$4:$H$51&lt;3))=0</f>
        <v/>
      </c>
      <c r="X8">
        <f>$L8</f>
        <v/>
      </c>
      <c r="Y8">
        <f>$B8</f>
        <v/>
      </c>
      <c r="Z8">
        <f>$I8</f>
        <v/>
      </c>
      <c r="AA8">
        <f>MAX(0,3-$H8)</f>
        <v/>
      </c>
      <c r="AB8">
        <f>IF($S8=0,"",IF($R8=0,"⛔",IF($R8&gt;=$S8,"✅","·")))</f>
        <v/>
      </c>
      <c r="AC8">
        <f>IF($S8=0,0,IF($R8=0,-1,IF($R8&gt;=$S8,1,0)))</f>
        <v/>
      </c>
    </row>
    <row r="9">
      <c r="A9" s="26" t="inlineStr">
        <is>
          <t>B</t>
        </is>
      </c>
      <c r="B9" s="25" t="inlineStr">
        <is>
          <t>Bosnia</t>
        </is>
      </c>
      <c r="C9" s="34" t="n">
        <v>0</v>
      </c>
      <c r="D9" s="34" t="n">
        <v>0</v>
      </c>
      <c r="E9" s="34" t="n">
        <v>0</v>
      </c>
      <c r="F9" s="34" t="n">
        <v>0</v>
      </c>
      <c r="G9" s="34" t="n">
        <v>0</v>
      </c>
      <c r="H9" s="26">
        <f>C9+D9+E9</f>
        <v/>
      </c>
      <c r="I9" s="26">
        <f>C9*3+D9</f>
        <v/>
      </c>
      <c r="J9" s="26">
        <f>F9-G9</f>
        <v/>
      </c>
      <c r="K9" s="26">
        <f>$I9*1000000000+($J9+1000)*100000+$F9*100+(51-ROW())</f>
        <v/>
      </c>
      <c r="L9" s="26">
        <f>IF($T9&gt;0,$T9,SUMPRODUCT(($A$4:$A$51=$A9)*($K$4:$K$51&gt;$K9))+1)</f>
        <v/>
      </c>
      <c r="M9" s="26">
        <f>($L9&lt;=2)</f>
        <v/>
      </c>
      <c r="N9" s="26">
        <f>$I9+(3-$H9)*3</f>
        <v/>
      </c>
      <c r="O9" s="26">
        <f>SUMPRODUCT(($A$4:$A$51=$A9)*($I$4:$I$51&gt;$N9))&gt;=2</f>
        <v/>
      </c>
      <c r="P9" s="25">
        <f>IF(SUMPRODUCT(($A$4:$A$51=$A9)*($H$4:$H$51&lt;3))=0,IF($M9,"Qualificata","Eliminata"),IF($O9,"Fuori dai giochi",IF($M9,"In zona qualif.","In corsa")))</f>
        <v/>
      </c>
      <c r="Q9" s="25">
        <f>IF($S9=0,"",IF($R9=0,"NON deve passare",IF($R9&gt;=$S9,"DEVE passare","contesa")))</f>
        <v/>
      </c>
      <c r="R9">
        <f>COUNTIF(Scommesse!$D$2:$D$151,$B9)+COUNTIF(Scommesse!$E$2:$E$151,$B9)</f>
        <v/>
      </c>
      <c r="S9">
        <f>COUNTIF(Scommesse!$C$2:$C$151,$A9)</f>
        <v/>
      </c>
      <c r="U9" s="26" t="inlineStr">
        <is>
          <t>F</t>
        </is>
      </c>
      <c r="V9" s="26">
        <f>SUMPRODUCT(($A$4:$A$51=$U9)*($H$4:$H$51&lt;3))=0</f>
        <v/>
      </c>
      <c r="X9">
        <f>$L9</f>
        <v/>
      </c>
      <c r="Y9">
        <f>$B9</f>
        <v/>
      </c>
      <c r="Z9">
        <f>$I9</f>
        <v/>
      </c>
      <c r="AA9">
        <f>MAX(0,3-$H9)</f>
        <v/>
      </c>
      <c r="AB9">
        <f>IF($S9=0,"",IF($R9=0,"⛔",IF($R9&gt;=$S9,"✅","·")))</f>
        <v/>
      </c>
      <c r="AC9">
        <f>IF($S9=0,0,IF($R9=0,-1,IF($R9&gt;=$S9,1,0)))</f>
        <v/>
      </c>
    </row>
    <row r="10">
      <c r="A10" s="26" t="inlineStr">
        <is>
          <t>B</t>
        </is>
      </c>
      <c r="B10" s="25" t="inlineStr">
        <is>
          <t>Qatar</t>
        </is>
      </c>
      <c r="C10" s="34" t="n">
        <v>0</v>
      </c>
      <c r="D10" s="34" t="n">
        <v>0</v>
      </c>
      <c r="E10" s="34" t="n">
        <v>0</v>
      </c>
      <c r="F10" s="34" t="n">
        <v>0</v>
      </c>
      <c r="G10" s="34" t="n">
        <v>0</v>
      </c>
      <c r="H10" s="26">
        <f>C10+D10+E10</f>
        <v/>
      </c>
      <c r="I10" s="26">
        <f>C10*3+D10</f>
        <v/>
      </c>
      <c r="J10" s="26">
        <f>F10-G10</f>
        <v/>
      </c>
      <c r="K10" s="26">
        <f>$I10*1000000000+($J10+1000)*100000+$F10*100+(51-ROW())</f>
        <v/>
      </c>
      <c r="L10" s="26">
        <f>IF($T10&gt;0,$T10,SUMPRODUCT(($A$4:$A$51=$A10)*($K$4:$K$51&gt;$K10))+1)</f>
        <v/>
      </c>
      <c r="M10" s="26">
        <f>($L10&lt;=2)</f>
        <v/>
      </c>
      <c r="N10" s="26">
        <f>$I10+(3-$H10)*3</f>
        <v/>
      </c>
      <c r="O10" s="26">
        <f>SUMPRODUCT(($A$4:$A$51=$A10)*($I$4:$I$51&gt;$N10))&gt;=2</f>
        <v/>
      </c>
      <c r="P10" s="25">
        <f>IF(SUMPRODUCT(($A$4:$A$51=$A10)*($H$4:$H$51&lt;3))=0,IF($M10,"Qualificata","Eliminata"),IF($O10,"Fuori dai giochi",IF($M10,"In zona qualif.","In corsa")))</f>
        <v/>
      </c>
      <c r="Q10" s="25">
        <f>IF($S10=0,"",IF($R10=0,"NON deve passare",IF($R10&gt;=$S10,"DEVE passare","contesa")))</f>
        <v/>
      </c>
      <c r="R10">
        <f>COUNTIF(Scommesse!$D$2:$D$151,$B10)+COUNTIF(Scommesse!$E$2:$E$151,$B10)</f>
        <v/>
      </c>
      <c r="S10">
        <f>COUNTIF(Scommesse!$C$2:$C$151,$A10)</f>
        <v/>
      </c>
      <c r="U10" s="26" t="inlineStr">
        <is>
          <t>G</t>
        </is>
      </c>
      <c r="V10" s="26">
        <f>SUMPRODUCT(($A$4:$A$51=$U10)*($H$4:$H$51&lt;3))=0</f>
        <v/>
      </c>
      <c r="X10">
        <f>$L10</f>
        <v/>
      </c>
      <c r="Y10">
        <f>$B10</f>
        <v/>
      </c>
      <c r="Z10">
        <f>$I10</f>
        <v/>
      </c>
      <c r="AA10">
        <f>MAX(0,3-$H10)</f>
        <v/>
      </c>
      <c r="AB10">
        <f>IF($S10=0,"",IF($R10=0,"⛔",IF($R10&gt;=$S10,"✅","·")))</f>
        <v/>
      </c>
      <c r="AC10">
        <f>IF($S10=0,0,IF($R10=0,-1,IF($R10&gt;=$S10,1,0)))</f>
        <v/>
      </c>
    </row>
    <row r="11">
      <c r="A11" s="26" t="inlineStr">
        <is>
          <t>B</t>
        </is>
      </c>
      <c r="B11" s="25" t="inlineStr">
        <is>
          <t>Svizzera</t>
        </is>
      </c>
      <c r="C11" s="34" t="n">
        <v>0</v>
      </c>
      <c r="D11" s="34" t="n">
        <v>0</v>
      </c>
      <c r="E11" s="34" t="n">
        <v>0</v>
      </c>
      <c r="F11" s="34" t="n">
        <v>0</v>
      </c>
      <c r="G11" s="34" t="n">
        <v>0</v>
      </c>
      <c r="H11" s="26">
        <f>C11+D11+E11</f>
        <v/>
      </c>
      <c r="I11" s="26">
        <f>C11*3+D11</f>
        <v/>
      </c>
      <c r="J11" s="26">
        <f>F11-G11</f>
        <v/>
      </c>
      <c r="K11" s="26">
        <f>$I11*1000000000+($J11+1000)*100000+$F11*100+(51-ROW())</f>
        <v/>
      </c>
      <c r="L11" s="26">
        <f>IF($T11&gt;0,$T11,SUMPRODUCT(($A$4:$A$51=$A11)*($K$4:$K$51&gt;$K11))+1)</f>
        <v/>
      </c>
      <c r="M11" s="26">
        <f>($L11&lt;=2)</f>
        <v/>
      </c>
      <c r="N11" s="26">
        <f>$I11+(3-$H11)*3</f>
        <v/>
      </c>
      <c r="O11" s="26">
        <f>SUMPRODUCT(($A$4:$A$51=$A11)*($I$4:$I$51&gt;$N11))&gt;=2</f>
        <v/>
      </c>
      <c r="P11" s="25">
        <f>IF(SUMPRODUCT(($A$4:$A$51=$A11)*($H$4:$H$51&lt;3))=0,IF($M11,"Qualificata","Eliminata"),IF($O11,"Fuori dai giochi",IF($M11,"In zona qualif.","In corsa")))</f>
        <v/>
      </c>
      <c r="Q11" s="25">
        <f>IF($S11=0,"",IF($R11=0,"NON deve passare",IF($R11&gt;=$S11,"DEVE passare","contesa")))</f>
        <v/>
      </c>
      <c r="R11">
        <f>COUNTIF(Scommesse!$D$2:$D$151,$B11)+COUNTIF(Scommesse!$E$2:$E$151,$B11)</f>
        <v/>
      </c>
      <c r="S11">
        <f>COUNTIF(Scommesse!$C$2:$C$151,$A11)</f>
        <v/>
      </c>
      <c r="U11" s="26" t="inlineStr">
        <is>
          <t>H</t>
        </is>
      </c>
      <c r="V11" s="26">
        <f>SUMPRODUCT(($A$4:$A$51=$U11)*($H$4:$H$51&lt;3))=0</f>
        <v/>
      </c>
      <c r="X11">
        <f>$L11</f>
        <v/>
      </c>
      <c r="Y11">
        <f>$B11</f>
        <v/>
      </c>
      <c r="Z11">
        <f>$I11</f>
        <v/>
      </c>
      <c r="AA11">
        <f>MAX(0,3-$H11)</f>
        <v/>
      </c>
      <c r="AB11">
        <f>IF($S11=0,"",IF($R11=0,"⛔",IF($R11&gt;=$S11,"✅","·")))</f>
        <v/>
      </c>
      <c r="AC11">
        <f>IF($S11=0,0,IF($R11=0,-1,IF($R11&gt;=$S11,1,0)))</f>
        <v/>
      </c>
    </row>
    <row r="12">
      <c r="A12" s="26" t="inlineStr">
        <is>
          <t>C</t>
        </is>
      </c>
      <c r="B12" s="25" t="inlineStr">
        <is>
          <t>Brasile</t>
        </is>
      </c>
      <c r="C12" s="34" t="n">
        <v>0</v>
      </c>
      <c r="D12" s="34" t="n">
        <v>0</v>
      </c>
      <c r="E12" s="34" t="n">
        <v>0</v>
      </c>
      <c r="F12" s="34" t="n">
        <v>0</v>
      </c>
      <c r="G12" s="34" t="n">
        <v>0</v>
      </c>
      <c r="H12" s="26">
        <f>C12+D12+E12</f>
        <v/>
      </c>
      <c r="I12" s="26">
        <f>C12*3+D12</f>
        <v/>
      </c>
      <c r="J12" s="26">
        <f>F12-G12</f>
        <v/>
      </c>
      <c r="K12" s="26">
        <f>$I12*1000000000+($J12+1000)*100000+$F12*100+(51-ROW())</f>
        <v/>
      </c>
      <c r="L12" s="26">
        <f>IF($T12&gt;0,$T12,SUMPRODUCT(($A$4:$A$51=$A12)*($K$4:$K$51&gt;$K12))+1)</f>
        <v/>
      </c>
      <c r="M12" s="26">
        <f>($L12&lt;=2)</f>
        <v/>
      </c>
      <c r="N12" s="26">
        <f>$I12+(3-$H12)*3</f>
        <v/>
      </c>
      <c r="O12" s="26">
        <f>SUMPRODUCT(($A$4:$A$51=$A12)*($I$4:$I$51&gt;$N12))&gt;=2</f>
        <v/>
      </c>
      <c r="P12" s="25">
        <f>IF(SUMPRODUCT(($A$4:$A$51=$A12)*($H$4:$H$51&lt;3))=0,IF($M12,"Qualificata","Eliminata"),IF($O12,"Fuori dai giochi",IF($M12,"In zona qualif.","In corsa")))</f>
        <v/>
      </c>
      <c r="Q12" s="25">
        <f>IF($S12=0,"",IF($R12=0,"NON deve passare",IF($R12&gt;=$S12,"DEVE passare","contesa")))</f>
        <v/>
      </c>
      <c r="R12">
        <f>COUNTIF(Scommesse!$D$2:$D$151,$B12)+COUNTIF(Scommesse!$E$2:$E$151,$B12)</f>
        <v/>
      </c>
      <c r="S12">
        <f>COUNTIF(Scommesse!$C$2:$C$151,$A12)</f>
        <v/>
      </c>
      <c r="U12" s="26" t="inlineStr">
        <is>
          <t>I</t>
        </is>
      </c>
      <c r="V12" s="26">
        <f>SUMPRODUCT(($A$4:$A$51=$U12)*($H$4:$H$51&lt;3))=0</f>
        <v/>
      </c>
      <c r="X12">
        <f>$L12</f>
        <v/>
      </c>
      <c r="Y12">
        <f>$B12</f>
        <v/>
      </c>
      <c r="Z12">
        <f>$I12</f>
        <v/>
      </c>
      <c r="AA12">
        <f>MAX(0,3-$H12)</f>
        <v/>
      </c>
      <c r="AB12">
        <f>IF($S12=0,"",IF($R12=0,"⛔",IF($R12&gt;=$S12,"✅","·")))</f>
        <v/>
      </c>
      <c r="AC12">
        <f>IF($S12=0,0,IF($R12=0,-1,IF($R12&gt;=$S12,1,0)))</f>
        <v/>
      </c>
    </row>
    <row r="13">
      <c r="A13" s="26" t="inlineStr">
        <is>
          <t>C</t>
        </is>
      </c>
      <c r="B13" s="25" t="inlineStr">
        <is>
          <t>Scozia</t>
        </is>
      </c>
      <c r="C13" s="34" t="n">
        <v>0</v>
      </c>
      <c r="D13" s="34" t="n">
        <v>0</v>
      </c>
      <c r="E13" s="34" t="n">
        <v>0</v>
      </c>
      <c r="F13" s="34" t="n">
        <v>0</v>
      </c>
      <c r="G13" s="34" t="n">
        <v>0</v>
      </c>
      <c r="H13" s="26">
        <f>C13+D13+E13</f>
        <v/>
      </c>
      <c r="I13" s="26">
        <f>C13*3+D13</f>
        <v/>
      </c>
      <c r="J13" s="26">
        <f>F13-G13</f>
        <v/>
      </c>
      <c r="K13" s="26">
        <f>$I13*1000000000+($J13+1000)*100000+$F13*100+(51-ROW())</f>
        <v/>
      </c>
      <c r="L13" s="26">
        <f>IF($T13&gt;0,$T13,SUMPRODUCT(($A$4:$A$51=$A13)*($K$4:$K$51&gt;$K13))+1)</f>
        <v/>
      </c>
      <c r="M13" s="26">
        <f>($L13&lt;=2)</f>
        <v/>
      </c>
      <c r="N13" s="26">
        <f>$I13+(3-$H13)*3</f>
        <v/>
      </c>
      <c r="O13" s="26">
        <f>SUMPRODUCT(($A$4:$A$51=$A13)*($I$4:$I$51&gt;$N13))&gt;=2</f>
        <v/>
      </c>
      <c r="P13" s="25">
        <f>IF(SUMPRODUCT(($A$4:$A$51=$A13)*($H$4:$H$51&lt;3))=0,IF($M13,"Qualificata","Eliminata"),IF($O13,"Fuori dai giochi",IF($M13,"In zona qualif.","In corsa")))</f>
        <v/>
      </c>
      <c r="Q13" s="25">
        <f>IF($S13=0,"",IF($R13=0,"NON deve passare",IF($R13&gt;=$S13,"DEVE passare","contesa")))</f>
        <v/>
      </c>
      <c r="R13">
        <f>COUNTIF(Scommesse!$D$2:$D$151,$B13)+COUNTIF(Scommesse!$E$2:$E$151,$B13)</f>
        <v/>
      </c>
      <c r="S13">
        <f>COUNTIF(Scommesse!$C$2:$C$151,$A13)</f>
        <v/>
      </c>
      <c r="U13" s="26" t="inlineStr">
        <is>
          <t>J</t>
        </is>
      </c>
      <c r="V13" s="26">
        <f>SUMPRODUCT(($A$4:$A$51=$U13)*($H$4:$H$51&lt;3))=0</f>
        <v/>
      </c>
      <c r="X13">
        <f>$L13</f>
        <v/>
      </c>
      <c r="Y13">
        <f>$B13</f>
        <v/>
      </c>
      <c r="Z13">
        <f>$I13</f>
        <v/>
      </c>
      <c r="AA13">
        <f>MAX(0,3-$H13)</f>
        <v/>
      </c>
      <c r="AB13">
        <f>IF($S13=0,"",IF($R13=0,"⛔",IF($R13&gt;=$S13,"✅","·")))</f>
        <v/>
      </c>
      <c r="AC13">
        <f>IF($S13=0,0,IF($R13=0,-1,IF($R13&gt;=$S13,1,0)))</f>
        <v/>
      </c>
    </row>
    <row r="14">
      <c r="A14" s="26" t="inlineStr">
        <is>
          <t>C</t>
        </is>
      </c>
      <c r="B14" s="25" t="inlineStr">
        <is>
          <t>Marocco</t>
        </is>
      </c>
      <c r="C14" s="34" t="n">
        <v>0</v>
      </c>
      <c r="D14" s="34" t="n">
        <v>0</v>
      </c>
      <c r="E14" s="34" t="n">
        <v>0</v>
      </c>
      <c r="F14" s="34" t="n">
        <v>0</v>
      </c>
      <c r="G14" s="34" t="n">
        <v>0</v>
      </c>
      <c r="H14" s="26">
        <f>C14+D14+E14</f>
        <v/>
      </c>
      <c r="I14" s="26">
        <f>C14*3+D14</f>
        <v/>
      </c>
      <c r="J14" s="26">
        <f>F14-G14</f>
        <v/>
      </c>
      <c r="K14" s="26">
        <f>$I14*1000000000+($J14+1000)*100000+$F14*100+(51-ROW())</f>
        <v/>
      </c>
      <c r="L14" s="26">
        <f>IF($T14&gt;0,$T14,SUMPRODUCT(($A$4:$A$51=$A14)*($K$4:$K$51&gt;$K14))+1)</f>
        <v/>
      </c>
      <c r="M14" s="26">
        <f>($L14&lt;=2)</f>
        <v/>
      </c>
      <c r="N14" s="26">
        <f>$I14+(3-$H14)*3</f>
        <v/>
      </c>
      <c r="O14" s="26">
        <f>SUMPRODUCT(($A$4:$A$51=$A14)*($I$4:$I$51&gt;$N14))&gt;=2</f>
        <v/>
      </c>
      <c r="P14" s="25">
        <f>IF(SUMPRODUCT(($A$4:$A$51=$A14)*($H$4:$H$51&lt;3))=0,IF($M14,"Qualificata","Eliminata"),IF($O14,"Fuori dai giochi",IF($M14,"In zona qualif.","In corsa")))</f>
        <v/>
      </c>
      <c r="Q14" s="25">
        <f>IF($S14=0,"",IF($R14=0,"NON deve passare",IF($R14&gt;=$S14,"DEVE passare","contesa")))</f>
        <v/>
      </c>
      <c r="R14">
        <f>COUNTIF(Scommesse!$D$2:$D$151,$B14)+COUNTIF(Scommesse!$E$2:$E$151,$B14)</f>
        <v/>
      </c>
      <c r="S14">
        <f>COUNTIF(Scommesse!$C$2:$C$151,$A14)</f>
        <v/>
      </c>
      <c r="U14" s="26" t="inlineStr">
        <is>
          <t>K</t>
        </is>
      </c>
      <c r="V14" s="26">
        <f>SUMPRODUCT(($A$4:$A$51=$U14)*($H$4:$H$51&lt;3))=0</f>
        <v/>
      </c>
      <c r="X14">
        <f>$L14</f>
        <v/>
      </c>
      <c r="Y14">
        <f>$B14</f>
        <v/>
      </c>
      <c r="Z14">
        <f>$I14</f>
        <v/>
      </c>
      <c r="AA14">
        <f>MAX(0,3-$H14)</f>
        <v/>
      </c>
      <c r="AB14">
        <f>IF($S14=0,"",IF($R14=0,"⛔",IF($R14&gt;=$S14,"✅","·")))</f>
        <v/>
      </c>
      <c r="AC14">
        <f>IF($S14=0,0,IF($R14=0,-1,IF($R14&gt;=$S14,1,0)))</f>
        <v/>
      </c>
    </row>
    <row r="15">
      <c r="A15" s="26" t="inlineStr">
        <is>
          <t>C</t>
        </is>
      </c>
      <c r="B15" s="25" t="inlineStr">
        <is>
          <t>Haiti</t>
        </is>
      </c>
      <c r="C15" s="34" t="n">
        <v>0</v>
      </c>
      <c r="D15" s="34" t="n">
        <v>0</v>
      </c>
      <c r="E15" s="34" t="n">
        <v>0</v>
      </c>
      <c r="F15" s="34" t="n">
        <v>0</v>
      </c>
      <c r="G15" s="34" t="n">
        <v>0</v>
      </c>
      <c r="H15" s="26">
        <f>C15+D15+E15</f>
        <v/>
      </c>
      <c r="I15" s="26">
        <f>C15*3+D15</f>
        <v/>
      </c>
      <c r="J15" s="26">
        <f>F15-G15</f>
        <v/>
      </c>
      <c r="K15" s="26">
        <f>$I15*1000000000+($J15+1000)*100000+$F15*100+(51-ROW())</f>
        <v/>
      </c>
      <c r="L15" s="26">
        <f>IF($T15&gt;0,$T15,SUMPRODUCT(($A$4:$A$51=$A15)*($K$4:$K$51&gt;$K15))+1)</f>
        <v/>
      </c>
      <c r="M15" s="26">
        <f>($L15&lt;=2)</f>
        <v/>
      </c>
      <c r="N15" s="26">
        <f>$I15+(3-$H15)*3</f>
        <v/>
      </c>
      <c r="O15" s="26">
        <f>SUMPRODUCT(($A$4:$A$51=$A15)*($I$4:$I$51&gt;$N15))&gt;=2</f>
        <v/>
      </c>
      <c r="P15" s="25">
        <f>IF(SUMPRODUCT(($A$4:$A$51=$A15)*($H$4:$H$51&lt;3))=0,IF($M15,"Qualificata","Eliminata"),IF($O15,"Fuori dai giochi",IF($M15,"In zona qualif.","In corsa")))</f>
        <v/>
      </c>
      <c r="Q15" s="25">
        <f>IF($S15=0,"",IF($R15=0,"NON deve passare",IF($R15&gt;=$S15,"DEVE passare","contesa")))</f>
        <v/>
      </c>
      <c r="R15">
        <f>COUNTIF(Scommesse!$D$2:$D$151,$B15)+COUNTIF(Scommesse!$E$2:$E$151,$B15)</f>
        <v/>
      </c>
      <c r="S15">
        <f>COUNTIF(Scommesse!$C$2:$C$151,$A15)</f>
        <v/>
      </c>
      <c r="U15" s="26" t="inlineStr">
        <is>
          <t>L</t>
        </is>
      </c>
      <c r="V15" s="26">
        <f>SUMPRODUCT(($A$4:$A$51=$U15)*($H$4:$H$51&lt;3))=0</f>
        <v/>
      </c>
      <c r="X15">
        <f>$L15</f>
        <v/>
      </c>
      <c r="Y15">
        <f>$B15</f>
        <v/>
      </c>
      <c r="Z15">
        <f>$I15</f>
        <v/>
      </c>
      <c r="AA15">
        <f>MAX(0,3-$H15)</f>
        <v/>
      </c>
      <c r="AB15">
        <f>IF($S15=0,"",IF($R15=0,"⛔",IF($R15&gt;=$S15,"✅","·")))</f>
        <v/>
      </c>
      <c r="AC15">
        <f>IF($S15=0,0,IF($R15=0,-1,IF($R15&gt;=$S15,1,0)))</f>
        <v/>
      </c>
    </row>
    <row r="16">
      <c r="A16" s="26" t="inlineStr">
        <is>
          <t>D</t>
        </is>
      </c>
      <c r="B16" s="25" t="inlineStr">
        <is>
          <t>Stati Uniti</t>
        </is>
      </c>
      <c r="C16" s="34" t="n">
        <v>0</v>
      </c>
      <c r="D16" s="34" t="n">
        <v>0</v>
      </c>
      <c r="E16" s="34" t="n">
        <v>0</v>
      </c>
      <c r="F16" s="34" t="n">
        <v>0</v>
      </c>
      <c r="G16" s="34" t="n">
        <v>0</v>
      </c>
      <c r="H16" s="26">
        <f>C16+D16+E16</f>
        <v/>
      </c>
      <c r="I16" s="26">
        <f>C16*3+D16</f>
        <v/>
      </c>
      <c r="J16" s="26">
        <f>F16-G16</f>
        <v/>
      </c>
      <c r="K16" s="26">
        <f>$I16*1000000000+($J16+1000)*100000+$F16*100+(51-ROW())</f>
        <v/>
      </c>
      <c r="L16" s="26">
        <f>IF($T16&gt;0,$T16,SUMPRODUCT(($A$4:$A$51=$A16)*($K$4:$K$51&gt;$K16))+1)</f>
        <v/>
      </c>
      <c r="M16" s="26">
        <f>($L16&lt;=2)</f>
        <v/>
      </c>
      <c r="N16" s="26">
        <f>$I16+(3-$H16)*3</f>
        <v/>
      </c>
      <c r="O16" s="26">
        <f>SUMPRODUCT(($A$4:$A$51=$A16)*($I$4:$I$51&gt;$N16))&gt;=2</f>
        <v/>
      </c>
      <c r="P16" s="25">
        <f>IF(SUMPRODUCT(($A$4:$A$51=$A16)*($H$4:$H$51&lt;3))=0,IF($M16,"Qualificata","Eliminata"),IF($O16,"Fuori dai giochi",IF($M16,"In zona qualif.","In corsa")))</f>
        <v/>
      </c>
      <c r="Q16" s="25">
        <f>IF($S16=0,"",IF($R16=0,"NON deve passare",IF($R16&gt;=$S16,"DEVE passare","contesa")))</f>
        <v/>
      </c>
      <c r="R16">
        <f>COUNTIF(Scommesse!$D$2:$D$151,$B16)+COUNTIF(Scommesse!$E$2:$E$151,$B16)</f>
        <v/>
      </c>
      <c r="S16">
        <f>COUNTIF(Scommesse!$C$2:$C$151,$A16)</f>
        <v/>
      </c>
      <c r="X16">
        <f>$L16</f>
        <v/>
      </c>
      <c r="Y16">
        <f>$B16</f>
        <v/>
      </c>
      <c r="Z16">
        <f>$I16</f>
        <v/>
      </c>
      <c r="AA16">
        <f>MAX(0,3-$H16)</f>
        <v/>
      </c>
      <c r="AB16">
        <f>IF($S16=0,"",IF($R16=0,"⛔",IF($R16&gt;=$S16,"✅","·")))</f>
        <v/>
      </c>
      <c r="AC16">
        <f>IF($S16=0,0,IF($R16=0,-1,IF($R16&gt;=$S16,1,0)))</f>
        <v/>
      </c>
    </row>
    <row r="17">
      <c r="A17" s="26" t="inlineStr">
        <is>
          <t>D</t>
        </is>
      </c>
      <c r="B17" s="25" t="inlineStr">
        <is>
          <t>Turchia</t>
        </is>
      </c>
      <c r="C17" s="34" t="n">
        <v>0</v>
      </c>
      <c r="D17" s="34" t="n">
        <v>0</v>
      </c>
      <c r="E17" s="34" t="n">
        <v>0</v>
      </c>
      <c r="F17" s="34" t="n">
        <v>0</v>
      </c>
      <c r="G17" s="34" t="n">
        <v>0</v>
      </c>
      <c r="H17" s="26">
        <f>C17+D17+E17</f>
        <v/>
      </c>
      <c r="I17" s="26">
        <f>C17*3+D17</f>
        <v/>
      </c>
      <c r="J17" s="26">
        <f>F17-G17</f>
        <v/>
      </c>
      <c r="K17" s="26">
        <f>$I17*1000000000+($J17+1000)*100000+$F17*100+(51-ROW())</f>
        <v/>
      </c>
      <c r="L17" s="26">
        <f>IF($T17&gt;0,$T17,SUMPRODUCT(($A$4:$A$51=$A17)*($K$4:$K$51&gt;$K17))+1)</f>
        <v/>
      </c>
      <c r="M17" s="26">
        <f>($L17&lt;=2)</f>
        <v/>
      </c>
      <c r="N17" s="26">
        <f>$I17+(3-$H17)*3</f>
        <v/>
      </c>
      <c r="O17" s="26">
        <f>SUMPRODUCT(($A$4:$A$51=$A17)*($I$4:$I$51&gt;$N17))&gt;=2</f>
        <v/>
      </c>
      <c r="P17" s="25">
        <f>IF(SUMPRODUCT(($A$4:$A$51=$A17)*($H$4:$H$51&lt;3))=0,IF($M17,"Qualificata","Eliminata"),IF($O17,"Fuori dai giochi",IF($M17,"In zona qualif.","In corsa")))</f>
        <v/>
      </c>
      <c r="Q17" s="25">
        <f>IF($S17=0,"",IF($R17=0,"NON deve passare",IF($R17&gt;=$S17,"DEVE passare","contesa")))</f>
        <v/>
      </c>
      <c r="R17">
        <f>COUNTIF(Scommesse!$D$2:$D$151,$B17)+COUNTIF(Scommesse!$E$2:$E$151,$B17)</f>
        <v/>
      </c>
      <c r="S17">
        <f>COUNTIF(Scommesse!$C$2:$C$151,$A17)</f>
        <v/>
      </c>
      <c r="X17">
        <f>$L17</f>
        <v/>
      </c>
      <c r="Y17">
        <f>$B17</f>
        <v/>
      </c>
      <c r="Z17">
        <f>$I17</f>
        <v/>
      </c>
      <c r="AA17">
        <f>MAX(0,3-$H17)</f>
        <v/>
      </c>
      <c r="AB17">
        <f>IF($S17=0,"",IF($R17=0,"⛔",IF($R17&gt;=$S17,"✅","·")))</f>
        <v/>
      </c>
      <c r="AC17">
        <f>IF($S17=0,0,IF($R17=0,-1,IF($R17&gt;=$S17,1,0)))</f>
        <v/>
      </c>
    </row>
    <row r="18">
      <c r="A18" s="26" t="inlineStr">
        <is>
          <t>D</t>
        </is>
      </c>
      <c r="B18" s="25" t="inlineStr">
        <is>
          <t>Paraguay</t>
        </is>
      </c>
      <c r="C18" s="34" t="n">
        <v>0</v>
      </c>
      <c r="D18" s="34" t="n">
        <v>0</v>
      </c>
      <c r="E18" s="34" t="n">
        <v>0</v>
      </c>
      <c r="F18" s="34" t="n">
        <v>0</v>
      </c>
      <c r="G18" s="34" t="n">
        <v>0</v>
      </c>
      <c r="H18" s="26">
        <f>C18+D18+E18</f>
        <v/>
      </c>
      <c r="I18" s="26">
        <f>C18*3+D18</f>
        <v/>
      </c>
      <c r="J18" s="26">
        <f>F18-G18</f>
        <v/>
      </c>
      <c r="K18" s="26">
        <f>$I18*1000000000+($J18+1000)*100000+$F18*100+(51-ROW())</f>
        <v/>
      </c>
      <c r="L18" s="26">
        <f>IF($T18&gt;0,$T18,SUMPRODUCT(($A$4:$A$51=$A18)*($K$4:$K$51&gt;$K18))+1)</f>
        <v/>
      </c>
      <c r="M18" s="26">
        <f>($L18&lt;=2)</f>
        <v/>
      </c>
      <c r="N18" s="26">
        <f>$I18+(3-$H18)*3</f>
        <v/>
      </c>
      <c r="O18" s="26">
        <f>SUMPRODUCT(($A$4:$A$51=$A18)*($I$4:$I$51&gt;$N18))&gt;=2</f>
        <v/>
      </c>
      <c r="P18" s="25">
        <f>IF(SUMPRODUCT(($A$4:$A$51=$A18)*($H$4:$H$51&lt;3))=0,IF($M18,"Qualificata","Eliminata"),IF($O18,"Fuori dai giochi",IF($M18,"In zona qualif.","In corsa")))</f>
        <v/>
      </c>
      <c r="Q18" s="25">
        <f>IF($S18=0,"",IF($R18=0,"NON deve passare",IF($R18&gt;=$S18,"DEVE passare","contesa")))</f>
        <v/>
      </c>
      <c r="R18">
        <f>COUNTIF(Scommesse!$D$2:$D$151,$B18)+COUNTIF(Scommesse!$E$2:$E$151,$B18)</f>
        <v/>
      </c>
      <c r="S18">
        <f>COUNTIF(Scommesse!$C$2:$C$151,$A18)</f>
        <v/>
      </c>
      <c r="X18">
        <f>$L18</f>
        <v/>
      </c>
      <c r="Y18">
        <f>$B18</f>
        <v/>
      </c>
      <c r="Z18">
        <f>$I18</f>
        <v/>
      </c>
      <c r="AA18">
        <f>MAX(0,3-$H18)</f>
        <v/>
      </c>
      <c r="AB18">
        <f>IF($S18=0,"",IF($R18=0,"⛔",IF($R18&gt;=$S18,"✅","·")))</f>
        <v/>
      </c>
      <c r="AC18">
        <f>IF($S18=0,0,IF($R18=0,-1,IF($R18&gt;=$S18,1,0)))</f>
        <v/>
      </c>
    </row>
    <row r="19">
      <c r="A19" s="26" t="inlineStr">
        <is>
          <t>D</t>
        </is>
      </c>
      <c r="B19" s="25" t="inlineStr">
        <is>
          <t>Australia</t>
        </is>
      </c>
      <c r="C19" s="34" t="n">
        <v>0</v>
      </c>
      <c r="D19" s="34" t="n">
        <v>0</v>
      </c>
      <c r="E19" s="34" t="n">
        <v>0</v>
      </c>
      <c r="F19" s="34" t="n">
        <v>0</v>
      </c>
      <c r="G19" s="34" t="n">
        <v>0</v>
      </c>
      <c r="H19" s="26">
        <f>C19+D19+E19</f>
        <v/>
      </c>
      <c r="I19" s="26">
        <f>C19*3+D19</f>
        <v/>
      </c>
      <c r="J19" s="26">
        <f>F19-G19</f>
        <v/>
      </c>
      <c r="K19" s="26">
        <f>$I19*1000000000+($J19+1000)*100000+$F19*100+(51-ROW())</f>
        <v/>
      </c>
      <c r="L19" s="26">
        <f>IF($T19&gt;0,$T19,SUMPRODUCT(($A$4:$A$51=$A19)*($K$4:$K$51&gt;$K19))+1)</f>
        <v/>
      </c>
      <c r="M19" s="26">
        <f>($L19&lt;=2)</f>
        <v/>
      </c>
      <c r="N19" s="26">
        <f>$I19+(3-$H19)*3</f>
        <v/>
      </c>
      <c r="O19" s="26">
        <f>SUMPRODUCT(($A$4:$A$51=$A19)*($I$4:$I$51&gt;$N19))&gt;=2</f>
        <v/>
      </c>
      <c r="P19" s="25">
        <f>IF(SUMPRODUCT(($A$4:$A$51=$A19)*($H$4:$H$51&lt;3))=0,IF($M19,"Qualificata","Eliminata"),IF($O19,"Fuori dai giochi",IF($M19,"In zona qualif.","In corsa")))</f>
        <v/>
      </c>
      <c r="Q19" s="25">
        <f>IF($S19=0,"",IF($R19=0,"NON deve passare",IF($R19&gt;=$S19,"DEVE passare","contesa")))</f>
        <v/>
      </c>
      <c r="R19">
        <f>COUNTIF(Scommesse!$D$2:$D$151,$B19)+COUNTIF(Scommesse!$E$2:$E$151,$B19)</f>
        <v/>
      </c>
      <c r="S19">
        <f>COUNTIF(Scommesse!$C$2:$C$151,$A19)</f>
        <v/>
      </c>
      <c r="X19">
        <f>$L19</f>
        <v/>
      </c>
      <c r="Y19">
        <f>$B19</f>
        <v/>
      </c>
      <c r="Z19">
        <f>$I19</f>
        <v/>
      </c>
      <c r="AA19">
        <f>MAX(0,3-$H19)</f>
        <v/>
      </c>
      <c r="AB19">
        <f>IF($S19=0,"",IF($R19=0,"⛔",IF($R19&gt;=$S19,"✅","·")))</f>
        <v/>
      </c>
      <c r="AC19">
        <f>IF($S19=0,0,IF($R19=0,-1,IF($R19&gt;=$S19,1,0)))</f>
        <v/>
      </c>
    </row>
    <row r="20">
      <c r="A20" s="26" t="inlineStr">
        <is>
          <t>E</t>
        </is>
      </c>
      <c r="B20" s="25" t="inlineStr">
        <is>
          <t>Germania</t>
        </is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26">
        <f>C20+D20+E20</f>
        <v/>
      </c>
      <c r="I20" s="26">
        <f>C20*3+D20</f>
        <v/>
      </c>
      <c r="J20" s="26">
        <f>F20-G20</f>
        <v/>
      </c>
      <c r="K20" s="26">
        <f>$I20*1000000000+($J20+1000)*100000+$F20*100+(51-ROW())</f>
        <v/>
      </c>
      <c r="L20" s="26">
        <f>IF($T20&gt;0,$T20,SUMPRODUCT(($A$4:$A$51=$A20)*($K$4:$K$51&gt;$K20))+1)</f>
        <v/>
      </c>
      <c r="M20" s="26">
        <f>($L20&lt;=2)</f>
        <v/>
      </c>
      <c r="N20" s="26">
        <f>$I20+(3-$H20)*3</f>
        <v/>
      </c>
      <c r="O20" s="26">
        <f>SUMPRODUCT(($A$4:$A$51=$A20)*($I$4:$I$51&gt;$N20))&gt;=2</f>
        <v/>
      </c>
      <c r="P20" s="25">
        <f>IF(SUMPRODUCT(($A$4:$A$51=$A20)*($H$4:$H$51&lt;3))=0,IF($M20,"Qualificata","Eliminata"),IF($O20,"Fuori dai giochi",IF($M20,"In zona qualif.","In corsa")))</f>
        <v/>
      </c>
      <c r="Q20" s="25">
        <f>IF($S20=0,"",IF($R20=0,"NON deve passare",IF($R20&gt;=$S20,"DEVE passare","contesa")))</f>
        <v/>
      </c>
      <c r="R20">
        <f>COUNTIF(Scommesse!$D$2:$D$151,$B20)+COUNTIF(Scommesse!$E$2:$E$151,$B20)</f>
        <v/>
      </c>
      <c r="S20">
        <f>COUNTIF(Scommesse!$C$2:$C$151,$A20)</f>
        <v/>
      </c>
      <c r="X20">
        <f>$L20</f>
        <v/>
      </c>
      <c r="Y20">
        <f>$B20</f>
        <v/>
      </c>
      <c r="Z20">
        <f>$I20</f>
        <v/>
      </c>
      <c r="AA20">
        <f>MAX(0,3-$H20)</f>
        <v/>
      </c>
      <c r="AB20">
        <f>IF($S20=0,"",IF($R20=0,"⛔",IF($R20&gt;=$S20,"✅","·")))</f>
        <v/>
      </c>
      <c r="AC20">
        <f>IF($S20=0,0,IF($R20=0,-1,IF($R20&gt;=$S20,1,0)))</f>
        <v/>
      </c>
    </row>
    <row r="21">
      <c r="A21" s="26" t="inlineStr">
        <is>
          <t>E</t>
        </is>
      </c>
      <c r="B21" s="25" t="inlineStr">
        <is>
          <t>Ecuador</t>
        </is>
      </c>
      <c r="C21" s="34" t="n">
        <v>0</v>
      </c>
      <c r="D21" s="34" t="n">
        <v>0</v>
      </c>
      <c r="E21" s="34" t="n">
        <v>0</v>
      </c>
      <c r="F21" s="34" t="n">
        <v>0</v>
      </c>
      <c r="G21" s="34" t="n">
        <v>0</v>
      </c>
      <c r="H21" s="26">
        <f>C21+D21+E21</f>
        <v/>
      </c>
      <c r="I21" s="26">
        <f>C21*3+D21</f>
        <v/>
      </c>
      <c r="J21" s="26">
        <f>F21-G21</f>
        <v/>
      </c>
      <c r="K21" s="26">
        <f>$I21*1000000000+($J21+1000)*100000+$F21*100+(51-ROW())</f>
        <v/>
      </c>
      <c r="L21" s="26">
        <f>IF($T21&gt;0,$T21,SUMPRODUCT(($A$4:$A$51=$A21)*($K$4:$K$51&gt;$K21))+1)</f>
        <v/>
      </c>
      <c r="M21" s="26">
        <f>($L21&lt;=2)</f>
        <v/>
      </c>
      <c r="N21" s="26">
        <f>$I21+(3-$H21)*3</f>
        <v/>
      </c>
      <c r="O21" s="26">
        <f>SUMPRODUCT(($A$4:$A$51=$A21)*($I$4:$I$51&gt;$N21))&gt;=2</f>
        <v/>
      </c>
      <c r="P21" s="25">
        <f>IF(SUMPRODUCT(($A$4:$A$51=$A21)*($H$4:$H$51&lt;3))=0,IF($M21,"Qualificata","Eliminata"),IF($O21,"Fuori dai giochi",IF($M21,"In zona qualif.","In corsa")))</f>
        <v/>
      </c>
      <c r="Q21" s="25">
        <f>IF($S21=0,"",IF($R21=0,"NON deve passare",IF($R21&gt;=$S21,"DEVE passare","contesa")))</f>
        <v/>
      </c>
      <c r="R21">
        <f>COUNTIF(Scommesse!$D$2:$D$151,$B21)+COUNTIF(Scommesse!$E$2:$E$151,$B21)</f>
        <v/>
      </c>
      <c r="S21">
        <f>COUNTIF(Scommesse!$C$2:$C$151,$A21)</f>
        <v/>
      </c>
      <c r="X21">
        <f>$L21</f>
        <v/>
      </c>
      <c r="Y21">
        <f>$B21</f>
        <v/>
      </c>
      <c r="Z21">
        <f>$I21</f>
        <v/>
      </c>
      <c r="AA21">
        <f>MAX(0,3-$H21)</f>
        <v/>
      </c>
      <c r="AB21">
        <f>IF($S21=0,"",IF($R21=0,"⛔",IF($R21&gt;=$S21,"✅","·")))</f>
        <v/>
      </c>
      <c r="AC21">
        <f>IF($S21=0,0,IF($R21=0,-1,IF($R21&gt;=$S21,1,0)))</f>
        <v/>
      </c>
    </row>
    <row r="22">
      <c r="A22" s="26" t="inlineStr">
        <is>
          <t>E</t>
        </is>
      </c>
      <c r="B22" s="25" t="inlineStr">
        <is>
          <t>Costa d'Avorio</t>
        </is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26">
        <f>C22+D22+E22</f>
        <v/>
      </c>
      <c r="I22" s="26">
        <f>C22*3+D22</f>
        <v/>
      </c>
      <c r="J22" s="26">
        <f>F22-G22</f>
        <v/>
      </c>
      <c r="K22" s="26">
        <f>$I22*1000000000+($J22+1000)*100000+$F22*100+(51-ROW())</f>
        <v/>
      </c>
      <c r="L22" s="26">
        <f>IF($T22&gt;0,$T22,SUMPRODUCT(($A$4:$A$51=$A22)*($K$4:$K$51&gt;$K22))+1)</f>
        <v/>
      </c>
      <c r="M22" s="26">
        <f>($L22&lt;=2)</f>
        <v/>
      </c>
      <c r="N22" s="26">
        <f>$I22+(3-$H22)*3</f>
        <v/>
      </c>
      <c r="O22" s="26">
        <f>SUMPRODUCT(($A$4:$A$51=$A22)*($I$4:$I$51&gt;$N22))&gt;=2</f>
        <v/>
      </c>
      <c r="P22" s="25">
        <f>IF(SUMPRODUCT(($A$4:$A$51=$A22)*($H$4:$H$51&lt;3))=0,IF($M22,"Qualificata","Eliminata"),IF($O22,"Fuori dai giochi",IF($M22,"In zona qualif.","In corsa")))</f>
        <v/>
      </c>
      <c r="Q22" s="25">
        <f>IF($S22=0,"",IF($R22=0,"NON deve passare",IF($R22&gt;=$S22,"DEVE passare","contesa")))</f>
        <v/>
      </c>
      <c r="R22">
        <f>COUNTIF(Scommesse!$D$2:$D$151,$B22)+COUNTIF(Scommesse!$E$2:$E$151,$B22)</f>
        <v/>
      </c>
      <c r="S22">
        <f>COUNTIF(Scommesse!$C$2:$C$151,$A22)</f>
        <v/>
      </c>
      <c r="X22">
        <f>$L22</f>
        <v/>
      </c>
      <c r="Y22">
        <f>$B22</f>
        <v/>
      </c>
      <c r="Z22">
        <f>$I22</f>
        <v/>
      </c>
      <c r="AA22">
        <f>MAX(0,3-$H22)</f>
        <v/>
      </c>
      <c r="AB22">
        <f>IF($S22=0,"",IF($R22=0,"⛔",IF($R22&gt;=$S22,"✅","·")))</f>
        <v/>
      </c>
      <c r="AC22">
        <f>IF($S22=0,0,IF($R22=0,-1,IF($R22&gt;=$S22,1,0)))</f>
        <v/>
      </c>
    </row>
    <row r="23">
      <c r="A23" s="26" t="inlineStr">
        <is>
          <t>E</t>
        </is>
      </c>
      <c r="B23" s="25" t="inlineStr">
        <is>
          <t>Curaçao</t>
        </is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26">
        <f>C23+D23+E23</f>
        <v/>
      </c>
      <c r="I23" s="26">
        <f>C23*3+D23</f>
        <v/>
      </c>
      <c r="J23" s="26">
        <f>F23-G23</f>
        <v/>
      </c>
      <c r="K23" s="26">
        <f>$I23*1000000000+($J23+1000)*100000+$F23*100+(51-ROW())</f>
        <v/>
      </c>
      <c r="L23" s="26">
        <f>IF($T23&gt;0,$T23,SUMPRODUCT(($A$4:$A$51=$A23)*($K$4:$K$51&gt;$K23))+1)</f>
        <v/>
      </c>
      <c r="M23" s="26">
        <f>($L23&lt;=2)</f>
        <v/>
      </c>
      <c r="N23" s="26">
        <f>$I23+(3-$H23)*3</f>
        <v/>
      </c>
      <c r="O23" s="26">
        <f>SUMPRODUCT(($A$4:$A$51=$A23)*($I$4:$I$51&gt;$N23))&gt;=2</f>
        <v/>
      </c>
      <c r="P23" s="25">
        <f>IF(SUMPRODUCT(($A$4:$A$51=$A23)*($H$4:$H$51&lt;3))=0,IF($M23,"Qualificata","Eliminata"),IF($O23,"Fuori dai giochi",IF($M23,"In zona qualif.","In corsa")))</f>
        <v/>
      </c>
      <c r="Q23" s="25">
        <f>IF($S23=0,"",IF($R23=0,"NON deve passare",IF($R23&gt;=$S23,"DEVE passare","contesa")))</f>
        <v/>
      </c>
      <c r="R23">
        <f>COUNTIF(Scommesse!$D$2:$D$151,$B23)+COUNTIF(Scommesse!$E$2:$E$151,$B23)</f>
        <v/>
      </c>
      <c r="S23">
        <f>COUNTIF(Scommesse!$C$2:$C$151,$A23)</f>
        <v/>
      </c>
      <c r="X23">
        <f>$L23</f>
        <v/>
      </c>
      <c r="Y23">
        <f>$B23</f>
        <v/>
      </c>
      <c r="Z23">
        <f>$I23</f>
        <v/>
      </c>
      <c r="AA23">
        <f>MAX(0,3-$H23)</f>
        <v/>
      </c>
      <c r="AB23">
        <f>IF($S23=0,"",IF($R23=0,"⛔",IF($R23&gt;=$S23,"✅","·")))</f>
        <v/>
      </c>
      <c r="AC23">
        <f>IF($S23=0,0,IF($R23=0,-1,IF($R23&gt;=$S23,1,0)))</f>
        <v/>
      </c>
    </row>
    <row r="24">
      <c r="A24" s="26" t="inlineStr">
        <is>
          <t>F</t>
        </is>
      </c>
      <c r="B24" s="25" t="inlineStr">
        <is>
          <t>Olanda</t>
        </is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26">
        <f>C24+D24+E24</f>
        <v/>
      </c>
      <c r="I24" s="26">
        <f>C24*3+D24</f>
        <v/>
      </c>
      <c r="J24" s="26">
        <f>F24-G24</f>
        <v/>
      </c>
      <c r="K24" s="26">
        <f>$I24*1000000000+($J24+1000)*100000+$F24*100+(51-ROW())</f>
        <v/>
      </c>
      <c r="L24" s="26">
        <f>IF($T24&gt;0,$T24,SUMPRODUCT(($A$4:$A$51=$A24)*($K$4:$K$51&gt;$K24))+1)</f>
        <v/>
      </c>
      <c r="M24" s="26">
        <f>($L24&lt;=2)</f>
        <v/>
      </c>
      <c r="N24" s="26">
        <f>$I24+(3-$H24)*3</f>
        <v/>
      </c>
      <c r="O24" s="26">
        <f>SUMPRODUCT(($A$4:$A$51=$A24)*($I$4:$I$51&gt;$N24))&gt;=2</f>
        <v/>
      </c>
      <c r="P24" s="25">
        <f>IF(SUMPRODUCT(($A$4:$A$51=$A24)*($H$4:$H$51&lt;3))=0,IF($M24,"Qualificata","Eliminata"),IF($O24,"Fuori dai giochi",IF($M24,"In zona qualif.","In corsa")))</f>
        <v/>
      </c>
      <c r="Q24" s="25">
        <f>IF($S24=0,"",IF($R24=0,"NON deve passare",IF($R24&gt;=$S24,"DEVE passare","contesa")))</f>
        <v/>
      </c>
      <c r="R24">
        <f>COUNTIF(Scommesse!$D$2:$D$151,$B24)+COUNTIF(Scommesse!$E$2:$E$151,$B24)</f>
        <v/>
      </c>
      <c r="S24">
        <f>COUNTIF(Scommesse!$C$2:$C$151,$A24)</f>
        <v/>
      </c>
      <c r="X24">
        <f>$L24</f>
        <v/>
      </c>
      <c r="Y24">
        <f>$B24</f>
        <v/>
      </c>
      <c r="Z24">
        <f>$I24</f>
        <v/>
      </c>
      <c r="AA24">
        <f>MAX(0,3-$H24)</f>
        <v/>
      </c>
      <c r="AB24">
        <f>IF($S24=0,"",IF($R24=0,"⛔",IF($R24&gt;=$S24,"✅","·")))</f>
        <v/>
      </c>
      <c r="AC24">
        <f>IF($S24=0,0,IF($R24=0,-1,IF($R24&gt;=$S24,1,0)))</f>
        <v/>
      </c>
    </row>
    <row r="25">
      <c r="A25" s="26" t="inlineStr">
        <is>
          <t>F</t>
        </is>
      </c>
      <c r="B25" s="25" t="inlineStr">
        <is>
          <t>Giappone</t>
        </is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26">
        <f>C25+D25+E25</f>
        <v/>
      </c>
      <c r="I25" s="26">
        <f>C25*3+D25</f>
        <v/>
      </c>
      <c r="J25" s="26">
        <f>F25-G25</f>
        <v/>
      </c>
      <c r="K25" s="26">
        <f>$I25*1000000000+($J25+1000)*100000+$F25*100+(51-ROW())</f>
        <v/>
      </c>
      <c r="L25" s="26">
        <f>IF($T25&gt;0,$T25,SUMPRODUCT(($A$4:$A$51=$A25)*($K$4:$K$51&gt;$K25))+1)</f>
        <v/>
      </c>
      <c r="M25" s="26">
        <f>($L25&lt;=2)</f>
        <v/>
      </c>
      <c r="N25" s="26">
        <f>$I25+(3-$H25)*3</f>
        <v/>
      </c>
      <c r="O25" s="26">
        <f>SUMPRODUCT(($A$4:$A$51=$A25)*($I$4:$I$51&gt;$N25))&gt;=2</f>
        <v/>
      </c>
      <c r="P25" s="25">
        <f>IF(SUMPRODUCT(($A$4:$A$51=$A25)*($H$4:$H$51&lt;3))=0,IF($M25,"Qualificata","Eliminata"),IF($O25,"Fuori dai giochi",IF($M25,"In zona qualif.","In corsa")))</f>
        <v/>
      </c>
      <c r="Q25" s="25">
        <f>IF($S25=0,"",IF($R25=0,"NON deve passare",IF($R25&gt;=$S25,"DEVE passare","contesa")))</f>
        <v/>
      </c>
      <c r="R25">
        <f>COUNTIF(Scommesse!$D$2:$D$151,$B25)+COUNTIF(Scommesse!$E$2:$E$151,$B25)</f>
        <v/>
      </c>
      <c r="S25">
        <f>COUNTIF(Scommesse!$C$2:$C$151,$A25)</f>
        <v/>
      </c>
      <c r="X25">
        <f>$L25</f>
        <v/>
      </c>
      <c r="Y25">
        <f>$B25</f>
        <v/>
      </c>
      <c r="Z25">
        <f>$I25</f>
        <v/>
      </c>
      <c r="AA25">
        <f>MAX(0,3-$H25)</f>
        <v/>
      </c>
      <c r="AB25">
        <f>IF($S25=0,"",IF($R25=0,"⛔",IF($R25&gt;=$S25,"✅","·")))</f>
        <v/>
      </c>
      <c r="AC25">
        <f>IF($S25=0,0,IF($R25=0,-1,IF($R25&gt;=$S25,1,0)))</f>
        <v/>
      </c>
    </row>
    <row r="26">
      <c r="A26" s="26" t="inlineStr">
        <is>
          <t>F</t>
        </is>
      </c>
      <c r="B26" s="25" t="inlineStr">
        <is>
          <t>Svezia</t>
        </is>
      </c>
      <c r="C26" s="34" t="n">
        <v>0</v>
      </c>
      <c r="D26" s="34" t="n">
        <v>0</v>
      </c>
      <c r="E26" s="34" t="n">
        <v>0</v>
      </c>
      <c r="F26" s="34" t="n">
        <v>0</v>
      </c>
      <c r="G26" s="34" t="n">
        <v>0</v>
      </c>
      <c r="H26" s="26">
        <f>C26+D26+E26</f>
        <v/>
      </c>
      <c r="I26" s="26">
        <f>C26*3+D26</f>
        <v/>
      </c>
      <c r="J26" s="26">
        <f>F26-G26</f>
        <v/>
      </c>
      <c r="K26" s="26">
        <f>$I26*1000000000+($J26+1000)*100000+$F26*100+(51-ROW())</f>
        <v/>
      </c>
      <c r="L26" s="26">
        <f>IF($T26&gt;0,$T26,SUMPRODUCT(($A$4:$A$51=$A26)*($K$4:$K$51&gt;$K26))+1)</f>
        <v/>
      </c>
      <c r="M26" s="26">
        <f>($L26&lt;=2)</f>
        <v/>
      </c>
      <c r="N26" s="26">
        <f>$I26+(3-$H26)*3</f>
        <v/>
      </c>
      <c r="O26" s="26">
        <f>SUMPRODUCT(($A$4:$A$51=$A26)*($I$4:$I$51&gt;$N26))&gt;=2</f>
        <v/>
      </c>
      <c r="P26" s="25">
        <f>IF(SUMPRODUCT(($A$4:$A$51=$A26)*($H$4:$H$51&lt;3))=0,IF($M26,"Qualificata","Eliminata"),IF($O26,"Fuori dai giochi",IF($M26,"In zona qualif.","In corsa")))</f>
        <v/>
      </c>
      <c r="Q26" s="25">
        <f>IF($S26=0,"",IF($R26=0,"NON deve passare",IF($R26&gt;=$S26,"DEVE passare","contesa")))</f>
        <v/>
      </c>
      <c r="R26">
        <f>COUNTIF(Scommesse!$D$2:$D$151,$B26)+COUNTIF(Scommesse!$E$2:$E$151,$B26)</f>
        <v/>
      </c>
      <c r="S26">
        <f>COUNTIF(Scommesse!$C$2:$C$151,$A26)</f>
        <v/>
      </c>
      <c r="X26">
        <f>$L26</f>
        <v/>
      </c>
      <c r="Y26">
        <f>$B26</f>
        <v/>
      </c>
      <c r="Z26">
        <f>$I26</f>
        <v/>
      </c>
      <c r="AA26">
        <f>MAX(0,3-$H26)</f>
        <v/>
      </c>
      <c r="AB26">
        <f>IF($S26=0,"",IF($R26=0,"⛔",IF($R26&gt;=$S26,"✅","·")))</f>
        <v/>
      </c>
      <c r="AC26">
        <f>IF($S26=0,0,IF($R26=0,-1,IF($R26&gt;=$S26,1,0)))</f>
        <v/>
      </c>
    </row>
    <row r="27">
      <c r="A27" s="26" t="inlineStr">
        <is>
          <t>F</t>
        </is>
      </c>
      <c r="B27" s="25" t="inlineStr">
        <is>
          <t>Tunisia</t>
        </is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26">
        <f>C27+D27+E27</f>
        <v/>
      </c>
      <c r="I27" s="26">
        <f>C27*3+D27</f>
        <v/>
      </c>
      <c r="J27" s="26">
        <f>F27-G27</f>
        <v/>
      </c>
      <c r="K27" s="26">
        <f>$I27*1000000000+($J27+1000)*100000+$F27*100+(51-ROW())</f>
        <v/>
      </c>
      <c r="L27" s="26">
        <f>IF($T27&gt;0,$T27,SUMPRODUCT(($A$4:$A$51=$A27)*($K$4:$K$51&gt;$K27))+1)</f>
        <v/>
      </c>
      <c r="M27" s="26">
        <f>($L27&lt;=2)</f>
        <v/>
      </c>
      <c r="N27" s="26">
        <f>$I27+(3-$H27)*3</f>
        <v/>
      </c>
      <c r="O27" s="26">
        <f>SUMPRODUCT(($A$4:$A$51=$A27)*($I$4:$I$51&gt;$N27))&gt;=2</f>
        <v/>
      </c>
      <c r="P27" s="25">
        <f>IF(SUMPRODUCT(($A$4:$A$51=$A27)*($H$4:$H$51&lt;3))=0,IF($M27,"Qualificata","Eliminata"),IF($O27,"Fuori dai giochi",IF($M27,"In zona qualif.","In corsa")))</f>
        <v/>
      </c>
      <c r="Q27" s="25">
        <f>IF($S27=0,"",IF($R27=0,"NON deve passare",IF($R27&gt;=$S27,"DEVE passare","contesa")))</f>
        <v/>
      </c>
      <c r="R27">
        <f>COUNTIF(Scommesse!$D$2:$D$151,$B27)+COUNTIF(Scommesse!$E$2:$E$151,$B27)</f>
        <v/>
      </c>
      <c r="S27">
        <f>COUNTIF(Scommesse!$C$2:$C$151,$A27)</f>
        <v/>
      </c>
      <c r="X27">
        <f>$L27</f>
        <v/>
      </c>
      <c r="Y27">
        <f>$B27</f>
        <v/>
      </c>
      <c r="Z27">
        <f>$I27</f>
        <v/>
      </c>
      <c r="AA27">
        <f>MAX(0,3-$H27)</f>
        <v/>
      </c>
      <c r="AB27">
        <f>IF($S27=0,"",IF($R27=0,"⛔",IF($R27&gt;=$S27,"✅","·")))</f>
        <v/>
      </c>
      <c r="AC27">
        <f>IF($S27=0,0,IF($R27=0,-1,IF($R27&gt;=$S27,1,0)))</f>
        <v/>
      </c>
    </row>
    <row r="28">
      <c r="A28" s="26" t="inlineStr">
        <is>
          <t>G</t>
        </is>
      </c>
      <c r="B28" s="25" t="inlineStr">
        <is>
          <t>Belgio</t>
        </is>
      </c>
      <c r="C28" s="34" t="n">
        <v>0</v>
      </c>
      <c r="D28" s="34" t="n">
        <v>0</v>
      </c>
      <c r="E28" s="34" t="n">
        <v>0</v>
      </c>
      <c r="F28" s="34" t="n">
        <v>0</v>
      </c>
      <c r="G28" s="34" t="n">
        <v>0</v>
      </c>
      <c r="H28" s="26">
        <f>C28+D28+E28</f>
        <v/>
      </c>
      <c r="I28" s="26">
        <f>C28*3+D28</f>
        <v/>
      </c>
      <c r="J28" s="26">
        <f>F28-G28</f>
        <v/>
      </c>
      <c r="K28" s="26">
        <f>$I28*1000000000+($J28+1000)*100000+$F28*100+(51-ROW())</f>
        <v/>
      </c>
      <c r="L28" s="26">
        <f>IF($T28&gt;0,$T28,SUMPRODUCT(($A$4:$A$51=$A28)*($K$4:$K$51&gt;$K28))+1)</f>
        <v/>
      </c>
      <c r="M28" s="26">
        <f>($L28&lt;=2)</f>
        <v/>
      </c>
      <c r="N28" s="26">
        <f>$I28+(3-$H28)*3</f>
        <v/>
      </c>
      <c r="O28" s="26">
        <f>SUMPRODUCT(($A$4:$A$51=$A28)*($I$4:$I$51&gt;$N28))&gt;=2</f>
        <v/>
      </c>
      <c r="P28" s="25">
        <f>IF(SUMPRODUCT(($A$4:$A$51=$A28)*($H$4:$H$51&lt;3))=0,IF($M28,"Qualificata","Eliminata"),IF($O28,"Fuori dai giochi",IF($M28,"In zona qualif.","In corsa")))</f>
        <v/>
      </c>
      <c r="Q28" s="25">
        <f>IF($S28=0,"",IF($R28=0,"NON deve passare",IF($R28&gt;=$S28,"DEVE passare","contesa")))</f>
        <v/>
      </c>
      <c r="R28">
        <f>COUNTIF(Scommesse!$D$2:$D$151,$B28)+COUNTIF(Scommesse!$E$2:$E$151,$B28)</f>
        <v/>
      </c>
      <c r="S28">
        <f>COUNTIF(Scommesse!$C$2:$C$151,$A28)</f>
        <v/>
      </c>
      <c r="X28">
        <f>$L28</f>
        <v/>
      </c>
      <c r="Y28">
        <f>$B28</f>
        <v/>
      </c>
      <c r="Z28">
        <f>$I28</f>
        <v/>
      </c>
      <c r="AA28">
        <f>MAX(0,3-$H28)</f>
        <v/>
      </c>
      <c r="AB28">
        <f>IF($S28=0,"",IF($R28=0,"⛔",IF($R28&gt;=$S28,"✅","·")))</f>
        <v/>
      </c>
      <c r="AC28">
        <f>IF($S28=0,0,IF($R28=0,-1,IF($R28&gt;=$S28,1,0)))</f>
        <v/>
      </c>
    </row>
    <row r="29">
      <c r="A29" s="26" t="inlineStr">
        <is>
          <t>G</t>
        </is>
      </c>
      <c r="B29" s="25" t="inlineStr">
        <is>
          <t>Egitto</t>
        </is>
      </c>
      <c r="C29" s="34" t="n">
        <v>0</v>
      </c>
      <c r="D29" s="34" t="n">
        <v>0</v>
      </c>
      <c r="E29" s="34" t="n">
        <v>0</v>
      </c>
      <c r="F29" s="34" t="n">
        <v>0</v>
      </c>
      <c r="G29" s="34" t="n">
        <v>0</v>
      </c>
      <c r="H29" s="26">
        <f>C29+D29+E29</f>
        <v/>
      </c>
      <c r="I29" s="26">
        <f>C29*3+D29</f>
        <v/>
      </c>
      <c r="J29" s="26">
        <f>F29-G29</f>
        <v/>
      </c>
      <c r="K29" s="26">
        <f>$I29*1000000000+($J29+1000)*100000+$F29*100+(51-ROW())</f>
        <v/>
      </c>
      <c r="L29" s="26">
        <f>IF($T29&gt;0,$T29,SUMPRODUCT(($A$4:$A$51=$A29)*($K$4:$K$51&gt;$K29))+1)</f>
        <v/>
      </c>
      <c r="M29" s="26">
        <f>($L29&lt;=2)</f>
        <v/>
      </c>
      <c r="N29" s="26">
        <f>$I29+(3-$H29)*3</f>
        <v/>
      </c>
      <c r="O29" s="26">
        <f>SUMPRODUCT(($A$4:$A$51=$A29)*($I$4:$I$51&gt;$N29))&gt;=2</f>
        <v/>
      </c>
      <c r="P29" s="25">
        <f>IF(SUMPRODUCT(($A$4:$A$51=$A29)*($H$4:$H$51&lt;3))=0,IF($M29,"Qualificata","Eliminata"),IF($O29,"Fuori dai giochi",IF($M29,"In zona qualif.","In corsa")))</f>
        <v/>
      </c>
      <c r="Q29" s="25">
        <f>IF($S29=0,"",IF($R29=0,"NON deve passare",IF($R29&gt;=$S29,"DEVE passare","contesa")))</f>
        <v/>
      </c>
      <c r="R29">
        <f>COUNTIF(Scommesse!$D$2:$D$151,$B29)+COUNTIF(Scommesse!$E$2:$E$151,$B29)</f>
        <v/>
      </c>
      <c r="S29">
        <f>COUNTIF(Scommesse!$C$2:$C$151,$A29)</f>
        <v/>
      </c>
      <c r="X29">
        <f>$L29</f>
        <v/>
      </c>
      <c r="Y29">
        <f>$B29</f>
        <v/>
      </c>
      <c r="Z29">
        <f>$I29</f>
        <v/>
      </c>
      <c r="AA29">
        <f>MAX(0,3-$H29)</f>
        <v/>
      </c>
      <c r="AB29">
        <f>IF($S29=0,"",IF($R29=0,"⛔",IF($R29&gt;=$S29,"✅","·")))</f>
        <v/>
      </c>
      <c r="AC29">
        <f>IF($S29=0,0,IF($R29=0,-1,IF($R29&gt;=$S29,1,0)))</f>
        <v/>
      </c>
    </row>
    <row r="30">
      <c r="A30" s="26" t="inlineStr">
        <is>
          <t>G</t>
        </is>
      </c>
      <c r="B30" s="25" t="inlineStr">
        <is>
          <t>Iran</t>
        </is>
      </c>
      <c r="C30" s="34" t="n">
        <v>0</v>
      </c>
      <c r="D30" s="34" t="n">
        <v>0</v>
      </c>
      <c r="E30" s="34" t="n">
        <v>0</v>
      </c>
      <c r="F30" s="34" t="n">
        <v>0</v>
      </c>
      <c r="G30" s="34" t="n">
        <v>0</v>
      </c>
      <c r="H30" s="26">
        <f>C30+D30+E30</f>
        <v/>
      </c>
      <c r="I30" s="26">
        <f>C30*3+D30</f>
        <v/>
      </c>
      <c r="J30" s="26">
        <f>F30-G30</f>
        <v/>
      </c>
      <c r="K30" s="26">
        <f>$I30*1000000000+($J30+1000)*100000+$F30*100+(51-ROW())</f>
        <v/>
      </c>
      <c r="L30" s="26">
        <f>IF($T30&gt;0,$T30,SUMPRODUCT(($A$4:$A$51=$A30)*($K$4:$K$51&gt;$K30))+1)</f>
        <v/>
      </c>
      <c r="M30" s="26">
        <f>($L30&lt;=2)</f>
        <v/>
      </c>
      <c r="N30" s="26">
        <f>$I30+(3-$H30)*3</f>
        <v/>
      </c>
      <c r="O30" s="26">
        <f>SUMPRODUCT(($A$4:$A$51=$A30)*($I$4:$I$51&gt;$N30))&gt;=2</f>
        <v/>
      </c>
      <c r="P30" s="25">
        <f>IF(SUMPRODUCT(($A$4:$A$51=$A30)*($H$4:$H$51&lt;3))=0,IF($M30,"Qualificata","Eliminata"),IF($O30,"Fuori dai giochi",IF($M30,"In zona qualif.","In corsa")))</f>
        <v/>
      </c>
      <c r="Q30" s="25">
        <f>IF($S30=0,"",IF($R30=0,"NON deve passare",IF($R30&gt;=$S30,"DEVE passare","contesa")))</f>
        <v/>
      </c>
      <c r="R30">
        <f>COUNTIF(Scommesse!$D$2:$D$151,$B30)+COUNTIF(Scommesse!$E$2:$E$151,$B30)</f>
        <v/>
      </c>
      <c r="S30">
        <f>COUNTIF(Scommesse!$C$2:$C$151,$A30)</f>
        <v/>
      </c>
      <c r="X30">
        <f>$L30</f>
        <v/>
      </c>
      <c r="Y30">
        <f>$B30</f>
        <v/>
      </c>
      <c r="Z30">
        <f>$I30</f>
        <v/>
      </c>
      <c r="AA30">
        <f>MAX(0,3-$H30)</f>
        <v/>
      </c>
      <c r="AB30">
        <f>IF($S30=0,"",IF($R30=0,"⛔",IF($R30&gt;=$S30,"✅","·")))</f>
        <v/>
      </c>
      <c r="AC30">
        <f>IF($S30=0,0,IF($R30=0,-1,IF($R30&gt;=$S30,1,0)))</f>
        <v/>
      </c>
    </row>
    <row r="31">
      <c r="A31" s="26" t="inlineStr">
        <is>
          <t>G</t>
        </is>
      </c>
      <c r="B31" s="25" t="inlineStr">
        <is>
          <t>Nuova Zelanda</t>
        </is>
      </c>
      <c r="C31" s="34" t="n">
        <v>0</v>
      </c>
      <c r="D31" s="34" t="n">
        <v>0</v>
      </c>
      <c r="E31" s="34" t="n">
        <v>0</v>
      </c>
      <c r="F31" s="34" t="n">
        <v>0</v>
      </c>
      <c r="G31" s="34" t="n">
        <v>0</v>
      </c>
      <c r="H31" s="26">
        <f>C31+D31+E31</f>
        <v/>
      </c>
      <c r="I31" s="26">
        <f>C31*3+D31</f>
        <v/>
      </c>
      <c r="J31" s="26">
        <f>F31-G31</f>
        <v/>
      </c>
      <c r="K31" s="26">
        <f>$I31*1000000000+($J31+1000)*100000+$F31*100+(51-ROW())</f>
        <v/>
      </c>
      <c r="L31" s="26">
        <f>IF($T31&gt;0,$T31,SUMPRODUCT(($A$4:$A$51=$A31)*($K$4:$K$51&gt;$K31))+1)</f>
        <v/>
      </c>
      <c r="M31" s="26">
        <f>($L31&lt;=2)</f>
        <v/>
      </c>
      <c r="N31" s="26">
        <f>$I31+(3-$H31)*3</f>
        <v/>
      </c>
      <c r="O31" s="26">
        <f>SUMPRODUCT(($A$4:$A$51=$A31)*($I$4:$I$51&gt;$N31))&gt;=2</f>
        <v/>
      </c>
      <c r="P31" s="25">
        <f>IF(SUMPRODUCT(($A$4:$A$51=$A31)*($H$4:$H$51&lt;3))=0,IF($M31,"Qualificata","Eliminata"),IF($O31,"Fuori dai giochi",IF($M31,"In zona qualif.","In corsa")))</f>
        <v/>
      </c>
      <c r="Q31" s="25">
        <f>IF($S31=0,"",IF($R31=0,"NON deve passare",IF($R31&gt;=$S31,"DEVE passare","contesa")))</f>
        <v/>
      </c>
      <c r="R31">
        <f>COUNTIF(Scommesse!$D$2:$D$151,$B31)+COUNTIF(Scommesse!$E$2:$E$151,$B31)</f>
        <v/>
      </c>
      <c r="S31">
        <f>COUNTIF(Scommesse!$C$2:$C$151,$A31)</f>
        <v/>
      </c>
      <c r="X31">
        <f>$L31</f>
        <v/>
      </c>
      <c r="Y31">
        <f>$B31</f>
        <v/>
      </c>
      <c r="Z31">
        <f>$I31</f>
        <v/>
      </c>
      <c r="AA31">
        <f>MAX(0,3-$H31)</f>
        <v/>
      </c>
      <c r="AB31">
        <f>IF($S31=0,"",IF($R31=0,"⛔",IF($R31&gt;=$S31,"✅","·")))</f>
        <v/>
      </c>
      <c r="AC31">
        <f>IF($S31=0,0,IF($R31=0,-1,IF($R31&gt;=$S31,1,0)))</f>
        <v/>
      </c>
    </row>
    <row r="32">
      <c r="A32" s="26" t="inlineStr">
        <is>
          <t>H</t>
        </is>
      </c>
      <c r="B32" s="25" t="inlineStr">
        <is>
          <t>Spagna</t>
        </is>
      </c>
      <c r="C32" s="34" t="n">
        <v>0</v>
      </c>
      <c r="D32" s="34" t="n">
        <v>0</v>
      </c>
      <c r="E32" s="34" t="n">
        <v>0</v>
      </c>
      <c r="F32" s="34" t="n">
        <v>0</v>
      </c>
      <c r="G32" s="34" t="n">
        <v>0</v>
      </c>
      <c r="H32" s="26">
        <f>C32+D32+E32</f>
        <v/>
      </c>
      <c r="I32" s="26">
        <f>C32*3+D32</f>
        <v/>
      </c>
      <c r="J32" s="26">
        <f>F32-G32</f>
        <v/>
      </c>
      <c r="K32" s="26">
        <f>$I32*1000000000+($J32+1000)*100000+$F32*100+(51-ROW())</f>
        <v/>
      </c>
      <c r="L32" s="26">
        <f>IF($T32&gt;0,$T32,SUMPRODUCT(($A$4:$A$51=$A32)*($K$4:$K$51&gt;$K32))+1)</f>
        <v/>
      </c>
      <c r="M32" s="26">
        <f>($L32&lt;=2)</f>
        <v/>
      </c>
      <c r="N32" s="26">
        <f>$I32+(3-$H32)*3</f>
        <v/>
      </c>
      <c r="O32" s="26">
        <f>SUMPRODUCT(($A$4:$A$51=$A32)*($I$4:$I$51&gt;$N32))&gt;=2</f>
        <v/>
      </c>
      <c r="P32" s="25">
        <f>IF(SUMPRODUCT(($A$4:$A$51=$A32)*($H$4:$H$51&lt;3))=0,IF($M32,"Qualificata","Eliminata"),IF($O32,"Fuori dai giochi",IF($M32,"In zona qualif.","In corsa")))</f>
        <v/>
      </c>
      <c r="Q32" s="25">
        <f>IF($S32=0,"",IF($R32=0,"NON deve passare",IF($R32&gt;=$S32,"DEVE passare","contesa")))</f>
        <v/>
      </c>
      <c r="R32">
        <f>COUNTIF(Scommesse!$D$2:$D$151,$B32)+COUNTIF(Scommesse!$E$2:$E$151,$B32)</f>
        <v/>
      </c>
      <c r="S32">
        <f>COUNTIF(Scommesse!$C$2:$C$151,$A32)</f>
        <v/>
      </c>
      <c r="X32">
        <f>$L32</f>
        <v/>
      </c>
      <c r="Y32">
        <f>$B32</f>
        <v/>
      </c>
      <c r="Z32">
        <f>$I32</f>
        <v/>
      </c>
      <c r="AA32">
        <f>MAX(0,3-$H32)</f>
        <v/>
      </c>
      <c r="AB32">
        <f>IF($S32=0,"",IF($R32=0,"⛔",IF($R32&gt;=$S32,"✅","·")))</f>
        <v/>
      </c>
      <c r="AC32">
        <f>IF($S32=0,0,IF($R32=0,-1,IF($R32&gt;=$S32,1,0)))</f>
        <v/>
      </c>
    </row>
    <row r="33">
      <c r="A33" s="26" t="inlineStr">
        <is>
          <t>H</t>
        </is>
      </c>
      <c r="B33" s="25" t="inlineStr">
        <is>
          <t>Uruguay</t>
        </is>
      </c>
      <c r="C33" s="34" t="n">
        <v>0</v>
      </c>
      <c r="D33" s="34" t="n">
        <v>0</v>
      </c>
      <c r="E33" s="34" t="n">
        <v>0</v>
      </c>
      <c r="F33" s="34" t="n">
        <v>0</v>
      </c>
      <c r="G33" s="34" t="n">
        <v>0</v>
      </c>
      <c r="H33" s="26">
        <f>C33+D33+E33</f>
        <v/>
      </c>
      <c r="I33" s="26">
        <f>C33*3+D33</f>
        <v/>
      </c>
      <c r="J33" s="26">
        <f>F33-G33</f>
        <v/>
      </c>
      <c r="K33" s="26">
        <f>$I33*1000000000+($J33+1000)*100000+$F33*100+(51-ROW())</f>
        <v/>
      </c>
      <c r="L33" s="26">
        <f>IF($T33&gt;0,$T33,SUMPRODUCT(($A$4:$A$51=$A33)*($K$4:$K$51&gt;$K33))+1)</f>
        <v/>
      </c>
      <c r="M33" s="26">
        <f>($L33&lt;=2)</f>
        <v/>
      </c>
      <c r="N33" s="26">
        <f>$I33+(3-$H33)*3</f>
        <v/>
      </c>
      <c r="O33" s="26">
        <f>SUMPRODUCT(($A$4:$A$51=$A33)*($I$4:$I$51&gt;$N33))&gt;=2</f>
        <v/>
      </c>
      <c r="P33" s="25">
        <f>IF(SUMPRODUCT(($A$4:$A$51=$A33)*($H$4:$H$51&lt;3))=0,IF($M33,"Qualificata","Eliminata"),IF($O33,"Fuori dai giochi",IF($M33,"In zona qualif.","In corsa")))</f>
        <v/>
      </c>
      <c r="Q33" s="25">
        <f>IF($S33=0,"",IF($R33=0,"NON deve passare",IF($R33&gt;=$S33,"DEVE passare","contesa")))</f>
        <v/>
      </c>
      <c r="R33">
        <f>COUNTIF(Scommesse!$D$2:$D$151,$B33)+COUNTIF(Scommesse!$E$2:$E$151,$B33)</f>
        <v/>
      </c>
      <c r="S33">
        <f>COUNTIF(Scommesse!$C$2:$C$151,$A33)</f>
        <v/>
      </c>
      <c r="X33">
        <f>$L33</f>
        <v/>
      </c>
      <c r="Y33">
        <f>$B33</f>
        <v/>
      </c>
      <c r="Z33">
        <f>$I33</f>
        <v/>
      </c>
      <c r="AA33">
        <f>MAX(0,3-$H33)</f>
        <v/>
      </c>
      <c r="AB33">
        <f>IF($S33=0,"",IF($R33=0,"⛔",IF($R33&gt;=$S33,"✅","·")))</f>
        <v/>
      </c>
      <c r="AC33">
        <f>IF($S33=0,0,IF($R33=0,-1,IF($R33&gt;=$S33,1,0)))</f>
        <v/>
      </c>
    </row>
    <row r="34">
      <c r="A34" s="26" t="inlineStr">
        <is>
          <t>H</t>
        </is>
      </c>
      <c r="B34" s="25" t="inlineStr">
        <is>
          <t>Arabia Saudita</t>
        </is>
      </c>
      <c r="C34" s="34" t="n">
        <v>0</v>
      </c>
      <c r="D34" s="34" t="n">
        <v>0</v>
      </c>
      <c r="E34" s="34" t="n">
        <v>0</v>
      </c>
      <c r="F34" s="34" t="n">
        <v>0</v>
      </c>
      <c r="G34" s="34" t="n">
        <v>0</v>
      </c>
      <c r="H34" s="26">
        <f>C34+D34+E34</f>
        <v/>
      </c>
      <c r="I34" s="26">
        <f>C34*3+D34</f>
        <v/>
      </c>
      <c r="J34" s="26">
        <f>F34-G34</f>
        <v/>
      </c>
      <c r="K34" s="26">
        <f>$I34*1000000000+($J34+1000)*100000+$F34*100+(51-ROW())</f>
        <v/>
      </c>
      <c r="L34" s="26">
        <f>IF($T34&gt;0,$T34,SUMPRODUCT(($A$4:$A$51=$A34)*($K$4:$K$51&gt;$K34))+1)</f>
        <v/>
      </c>
      <c r="M34" s="26">
        <f>($L34&lt;=2)</f>
        <v/>
      </c>
      <c r="N34" s="26">
        <f>$I34+(3-$H34)*3</f>
        <v/>
      </c>
      <c r="O34" s="26">
        <f>SUMPRODUCT(($A$4:$A$51=$A34)*($I$4:$I$51&gt;$N34))&gt;=2</f>
        <v/>
      </c>
      <c r="P34" s="25">
        <f>IF(SUMPRODUCT(($A$4:$A$51=$A34)*($H$4:$H$51&lt;3))=0,IF($M34,"Qualificata","Eliminata"),IF($O34,"Fuori dai giochi",IF($M34,"In zona qualif.","In corsa")))</f>
        <v/>
      </c>
      <c r="Q34" s="25">
        <f>IF($S34=0,"",IF($R34=0,"NON deve passare",IF($R34&gt;=$S34,"DEVE passare","contesa")))</f>
        <v/>
      </c>
      <c r="R34">
        <f>COUNTIF(Scommesse!$D$2:$D$151,$B34)+COUNTIF(Scommesse!$E$2:$E$151,$B34)</f>
        <v/>
      </c>
      <c r="S34">
        <f>COUNTIF(Scommesse!$C$2:$C$151,$A34)</f>
        <v/>
      </c>
      <c r="X34">
        <f>$L34</f>
        <v/>
      </c>
      <c r="Y34">
        <f>$B34</f>
        <v/>
      </c>
      <c r="Z34">
        <f>$I34</f>
        <v/>
      </c>
      <c r="AA34">
        <f>MAX(0,3-$H34)</f>
        <v/>
      </c>
      <c r="AB34">
        <f>IF($S34=0,"",IF($R34=0,"⛔",IF($R34&gt;=$S34,"✅","·")))</f>
        <v/>
      </c>
      <c r="AC34">
        <f>IF($S34=0,0,IF($R34=0,-1,IF($R34&gt;=$S34,1,0)))</f>
        <v/>
      </c>
    </row>
    <row r="35">
      <c r="A35" s="26" t="inlineStr">
        <is>
          <t>H</t>
        </is>
      </c>
      <c r="B35" s="25" t="inlineStr">
        <is>
          <t>Capo Verde</t>
        </is>
      </c>
      <c r="C35" s="34" t="n">
        <v>0</v>
      </c>
      <c r="D35" s="34" t="n">
        <v>0</v>
      </c>
      <c r="E35" s="34" t="n">
        <v>0</v>
      </c>
      <c r="F35" s="34" t="n">
        <v>0</v>
      </c>
      <c r="G35" s="34" t="n">
        <v>0</v>
      </c>
      <c r="H35" s="26">
        <f>C35+D35+E35</f>
        <v/>
      </c>
      <c r="I35" s="26">
        <f>C35*3+D35</f>
        <v/>
      </c>
      <c r="J35" s="26">
        <f>F35-G35</f>
        <v/>
      </c>
      <c r="K35" s="26">
        <f>$I35*1000000000+($J35+1000)*100000+$F35*100+(51-ROW())</f>
        <v/>
      </c>
      <c r="L35" s="26">
        <f>IF($T35&gt;0,$T35,SUMPRODUCT(($A$4:$A$51=$A35)*($K$4:$K$51&gt;$K35))+1)</f>
        <v/>
      </c>
      <c r="M35" s="26">
        <f>($L35&lt;=2)</f>
        <v/>
      </c>
      <c r="N35" s="26">
        <f>$I35+(3-$H35)*3</f>
        <v/>
      </c>
      <c r="O35" s="26">
        <f>SUMPRODUCT(($A$4:$A$51=$A35)*($I$4:$I$51&gt;$N35))&gt;=2</f>
        <v/>
      </c>
      <c r="P35" s="25">
        <f>IF(SUMPRODUCT(($A$4:$A$51=$A35)*($H$4:$H$51&lt;3))=0,IF($M35,"Qualificata","Eliminata"),IF($O35,"Fuori dai giochi",IF($M35,"In zona qualif.","In corsa")))</f>
        <v/>
      </c>
      <c r="Q35" s="25">
        <f>IF($S35=0,"",IF($R35=0,"NON deve passare",IF($R35&gt;=$S35,"DEVE passare","contesa")))</f>
        <v/>
      </c>
      <c r="R35">
        <f>COUNTIF(Scommesse!$D$2:$D$151,$B35)+COUNTIF(Scommesse!$E$2:$E$151,$B35)</f>
        <v/>
      </c>
      <c r="S35">
        <f>COUNTIF(Scommesse!$C$2:$C$151,$A35)</f>
        <v/>
      </c>
      <c r="X35">
        <f>$L35</f>
        <v/>
      </c>
      <c r="Y35">
        <f>$B35</f>
        <v/>
      </c>
      <c r="Z35">
        <f>$I35</f>
        <v/>
      </c>
      <c r="AA35">
        <f>MAX(0,3-$H35)</f>
        <v/>
      </c>
      <c r="AB35">
        <f>IF($S35=0,"",IF($R35=0,"⛔",IF($R35&gt;=$S35,"✅","·")))</f>
        <v/>
      </c>
      <c r="AC35">
        <f>IF($S35=0,0,IF($R35=0,-1,IF($R35&gt;=$S35,1,0)))</f>
        <v/>
      </c>
    </row>
    <row r="36">
      <c r="A36" s="26" t="inlineStr">
        <is>
          <t>I</t>
        </is>
      </c>
      <c r="B36" s="25" t="inlineStr">
        <is>
          <t>Francia</t>
        </is>
      </c>
      <c r="C36" s="34" t="n">
        <v>0</v>
      </c>
      <c r="D36" s="34" t="n">
        <v>0</v>
      </c>
      <c r="E36" s="34" t="n">
        <v>0</v>
      </c>
      <c r="F36" s="34" t="n">
        <v>0</v>
      </c>
      <c r="G36" s="34" t="n">
        <v>0</v>
      </c>
      <c r="H36" s="26">
        <f>C36+D36+E36</f>
        <v/>
      </c>
      <c r="I36" s="26">
        <f>C36*3+D36</f>
        <v/>
      </c>
      <c r="J36" s="26">
        <f>F36-G36</f>
        <v/>
      </c>
      <c r="K36" s="26">
        <f>$I36*1000000000+($J36+1000)*100000+$F36*100+(51-ROW())</f>
        <v/>
      </c>
      <c r="L36" s="26">
        <f>IF($T36&gt;0,$T36,SUMPRODUCT(($A$4:$A$51=$A36)*($K$4:$K$51&gt;$K36))+1)</f>
        <v/>
      </c>
      <c r="M36" s="26">
        <f>($L36&lt;=2)</f>
        <v/>
      </c>
      <c r="N36" s="26">
        <f>$I36+(3-$H36)*3</f>
        <v/>
      </c>
      <c r="O36" s="26">
        <f>SUMPRODUCT(($A$4:$A$51=$A36)*($I$4:$I$51&gt;$N36))&gt;=2</f>
        <v/>
      </c>
      <c r="P36" s="25">
        <f>IF(SUMPRODUCT(($A$4:$A$51=$A36)*($H$4:$H$51&lt;3))=0,IF($M36,"Qualificata","Eliminata"),IF($O36,"Fuori dai giochi",IF($M36,"In zona qualif.","In corsa")))</f>
        <v/>
      </c>
      <c r="Q36" s="25">
        <f>IF($S36=0,"",IF($R36=0,"NON deve passare",IF($R36&gt;=$S36,"DEVE passare","contesa")))</f>
        <v/>
      </c>
      <c r="R36">
        <f>COUNTIF(Scommesse!$D$2:$D$151,$B36)+COUNTIF(Scommesse!$E$2:$E$151,$B36)</f>
        <v/>
      </c>
      <c r="S36">
        <f>COUNTIF(Scommesse!$C$2:$C$151,$A36)</f>
        <v/>
      </c>
      <c r="X36">
        <f>$L36</f>
        <v/>
      </c>
      <c r="Y36">
        <f>$B36</f>
        <v/>
      </c>
      <c r="Z36">
        <f>$I36</f>
        <v/>
      </c>
      <c r="AA36">
        <f>MAX(0,3-$H36)</f>
        <v/>
      </c>
      <c r="AB36">
        <f>IF($S36=0,"",IF($R36=0,"⛔",IF($R36&gt;=$S36,"✅","·")))</f>
        <v/>
      </c>
      <c r="AC36">
        <f>IF($S36=0,0,IF($R36=0,-1,IF($R36&gt;=$S36,1,0)))</f>
        <v/>
      </c>
    </row>
    <row r="37">
      <c r="A37" s="26" t="inlineStr">
        <is>
          <t>I</t>
        </is>
      </c>
      <c r="B37" s="25" t="inlineStr">
        <is>
          <t>Senegal</t>
        </is>
      </c>
      <c r="C37" s="34" t="n">
        <v>0</v>
      </c>
      <c r="D37" s="34" t="n">
        <v>0</v>
      </c>
      <c r="E37" s="34" t="n">
        <v>0</v>
      </c>
      <c r="F37" s="34" t="n">
        <v>0</v>
      </c>
      <c r="G37" s="34" t="n">
        <v>0</v>
      </c>
      <c r="H37" s="26">
        <f>C37+D37+E37</f>
        <v/>
      </c>
      <c r="I37" s="26">
        <f>C37*3+D37</f>
        <v/>
      </c>
      <c r="J37" s="26">
        <f>F37-G37</f>
        <v/>
      </c>
      <c r="K37" s="26">
        <f>$I37*1000000000+($J37+1000)*100000+$F37*100+(51-ROW())</f>
        <v/>
      </c>
      <c r="L37" s="26">
        <f>IF($T37&gt;0,$T37,SUMPRODUCT(($A$4:$A$51=$A37)*($K$4:$K$51&gt;$K37))+1)</f>
        <v/>
      </c>
      <c r="M37" s="26">
        <f>($L37&lt;=2)</f>
        <v/>
      </c>
      <c r="N37" s="26">
        <f>$I37+(3-$H37)*3</f>
        <v/>
      </c>
      <c r="O37" s="26">
        <f>SUMPRODUCT(($A$4:$A$51=$A37)*($I$4:$I$51&gt;$N37))&gt;=2</f>
        <v/>
      </c>
      <c r="P37" s="25">
        <f>IF(SUMPRODUCT(($A$4:$A$51=$A37)*($H$4:$H$51&lt;3))=0,IF($M37,"Qualificata","Eliminata"),IF($O37,"Fuori dai giochi",IF($M37,"In zona qualif.","In corsa")))</f>
        <v/>
      </c>
      <c r="Q37" s="25">
        <f>IF($S37=0,"",IF($R37=0,"NON deve passare",IF($R37&gt;=$S37,"DEVE passare","contesa")))</f>
        <v/>
      </c>
      <c r="R37">
        <f>COUNTIF(Scommesse!$D$2:$D$151,$B37)+COUNTIF(Scommesse!$E$2:$E$151,$B37)</f>
        <v/>
      </c>
      <c r="S37">
        <f>COUNTIF(Scommesse!$C$2:$C$151,$A37)</f>
        <v/>
      </c>
      <c r="X37">
        <f>$L37</f>
        <v/>
      </c>
      <c r="Y37">
        <f>$B37</f>
        <v/>
      </c>
      <c r="Z37">
        <f>$I37</f>
        <v/>
      </c>
      <c r="AA37">
        <f>MAX(0,3-$H37)</f>
        <v/>
      </c>
      <c r="AB37">
        <f>IF($S37=0,"",IF($R37=0,"⛔",IF($R37&gt;=$S37,"✅","·")))</f>
        <v/>
      </c>
      <c r="AC37">
        <f>IF($S37=0,0,IF($R37=0,-1,IF($R37&gt;=$S37,1,0)))</f>
        <v/>
      </c>
    </row>
    <row r="38">
      <c r="A38" s="26" t="inlineStr">
        <is>
          <t>I</t>
        </is>
      </c>
      <c r="B38" s="25" t="inlineStr">
        <is>
          <t>Norvegia</t>
        </is>
      </c>
      <c r="C38" s="34" t="n">
        <v>0</v>
      </c>
      <c r="D38" s="34" t="n">
        <v>0</v>
      </c>
      <c r="E38" s="34" t="n">
        <v>0</v>
      </c>
      <c r="F38" s="34" t="n">
        <v>0</v>
      </c>
      <c r="G38" s="34" t="n">
        <v>0</v>
      </c>
      <c r="H38" s="26">
        <f>C38+D38+E38</f>
        <v/>
      </c>
      <c r="I38" s="26">
        <f>C38*3+D38</f>
        <v/>
      </c>
      <c r="J38" s="26">
        <f>F38-G38</f>
        <v/>
      </c>
      <c r="K38" s="26">
        <f>$I38*1000000000+($J38+1000)*100000+$F38*100+(51-ROW())</f>
        <v/>
      </c>
      <c r="L38" s="26">
        <f>IF($T38&gt;0,$T38,SUMPRODUCT(($A$4:$A$51=$A38)*($K$4:$K$51&gt;$K38))+1)</f>
        <v/>
      </c>
      <c r="M38" s="26">
        <f>($L38&lt;=2)</f>
        <v/>
      </c>
      <c r="N38" s="26">
        <f>$I38+(3-$H38)*3</f>
        <v/>
      </c>
      <c r="O38" s="26">
        <f>SUMPRODUCT(($A$4:$A$51=$A38)*($I$4:$I$51&gt;$N38))&gt;=2</f>
        <v/>
      </c>
      <c r="P38" s="25">
        <f>IF(SUMPRODUCT(($A$4:$A$51=$A38)*($H$4:$H$51&lt;3))=0,IF($M38,"Qualificata","Eliminata"),IF($O38,"Fuori dai giochi",IF($M38,"In zona qualif.","In corsa")))</f>
        <v/>
      </c>
      <c r="Q38" s="25">
        <f>IF($S38=0,"",IF($R38=0,"NON deve passare",IF($R38&gt;=$S38,"DEVE passare","contesa")))</f>
        <v/>
      </c>
      <c r="R38">
        <f>COUNTIF(Scommesse!$D$2:$D$151,$B38)+COUNTIF(Scommesse!$E$2:$E$151,$B38)</f>
        <v/>
      </c>
      <c r="S38">
        <f>COUNTIF(Scommesse!$C$2:$C$151,$A38)</f>
        <v/>
      </c>
      <c r="X38">
        <f>$L38</f>
        <v/>
      </c>
      <c r="Y38">
        <f>$B38</f>
        <v/>
      </c>
      <c r="Z38">
        <f>$I38</f>
        <v/>
      </c>
      <c r="AA38">
        <f>MAX(0,3-$H38)</f>
        <v/>
      </c>
      <c r="AB38">
        <f>IF($S38=0,"",IF($R38=0,"⛔",IF($R38&gt;=$S38,"✅","·")))</f>
        <v/>
      </c>
      <c r="AC38">
        <f>IF($S38=0,0,IF($R38=0,-1,IF($R38&gt;=$S38,1,0)))</f>
        <v/>
      </c>
    </row>
    <row r="39">
      <c r="A39" s="26" t="inlineStr">
        <is>
          <t>I</t>
        </is>
      </c>
      <c r="B39" s="25" t="inlineStr">
        <is>
          <t>Iraq</t>
        </is>
      </c>
      <c r="C39" s="34" t="n">
        <v>0</v>
      </c>
      <c r="D39" s="34" t="n">
        <v>0</v>
      </c>
      <c r="E39" s="34" t="n">
        <v>0</v>
      </c>
      <c r="F39" s="34" t="n">
        <v>0</v>
      </c>
      <c r="G39" s="34" t="n">
        <v>0</v>
      </c>
      <c r="H39" s="26">
        <f>C39+D39+E39</f>
        <v/>
      </c>
      <c r="I39" s="26">
        <f>C39*3+D39</f>
        <v/>
      </c>
      <c r="J39" s="26">
        <f>F39-G39</f>
        <v/>
      </c>
      <c r="K39" s="26">
        <f>$I39*1000000000+($J39+1000)*100000+$F39*100+(51-ROW())</f>
        <v/>
      </c>
      <c r="L39" s="26">
        <f>IF($T39&gt;0,$T39,SUMPRODUCT(($A$4:$A$51=$A39)*($K$4:$K$51&gt;$K39))+1)</f>
        <v/>
      </c>
      <c r="M39" s="26">
        <f>($L39&lt;=2)</f>
        <v/>
      </c>
      <c r="N39" s="26">
        <f>$I39+(3-$H39)*3</f>
        <v/>
      </c>
      <c r="O39" s="26">
        <f>SUMPRODUCT(($A$4:$A$51=$A39)*($I$4:$I$51&gt;$N39))&gt;=2</f>
        <v/>
      </c>
      <c r="P39" s="25">
        <f>IF(SUMPRODUCT(($A$4:$A$51=$A39)*($H$4:$H$51&lt;3))=0,IF($M39,"Qualificata","Eliminata"),IF($O39,"Fuori dai giochi",IF($M39,"In zona qualif.","In corsa")))</f>
        <v/>
      </c>
      <c r="Q39" s="25">
        <f>IF($S39=0,"",IF($R39=0,"NON deve passare",IF($R39&gt;=$S39,"DEVE passare","contesa")))</f>
        <v/>
      </c>
      <c r="R39">
        <f>COUNTIF(Scommesse!$D$2:$D$151,$B39)+COUNTIF(Scommesse!$E$2:$E$151,$B39)</f>
        <v/>
      </c>
      <c r="S39">
        <f>COUNTIF(Scommesse!$C$2:$C$151,$A39)</f>
        <v/>
      </c>
      <c r="X39">
        <f>$L39</f>
        <v/>
      </c>
      <c r="Y39">
        <f>$B39</f>
        <v/>
      </c>
      <c r="Z39">
        <f>$I39</f>
        <v/>
      </c>
      <c r="AA39">
        <f>MAX(0,3-$H39)</f>
        <v/>
      </c>
      <c r="AB39">
        <f>IF($S39=0,"",IF($R39=0,"⛔",IF($R39&gt;=$S39,"✅","·")))</f>
        <v/>
      </c>
      <c r="AC39">
        <f>IF($S39=0,0,IF($R39=0,-1,IF($R39&gt;=$S39,1,0)))</f>
        <v/>
      </c>
    </row>
    <row r="40">
      <c r="A40" s="26" t="inlineStr">
        <is>
          <t>J</t>
        </is>
      </c>
      <c r="B40" s="25" t="inlineStr">
        <is>
          <t>Argentina</t>
        </is>
      </c>
      <c r="C40" s="34" t="n">
        <v>0</v>
      </c>
      <c r="D40" s="34" t="n">
        <v>0</v>
      </c>
      <c r="E40" s="34" t="n">
        <v>0</v>
      </c>
      <c r="F40" s="34" t="n">
        <v>0</v>
      </c>
      <c r="G40" s="34" t="n">
        <v>0</v>
      </c>
      <c r="H40" s="26">
        <f>C40+D40+E40</f>
        <v/>
      </c>
      <c r="I40" s="26">
        <f>C40*3+D40</f>
        <v/>
      </c>
      <c r="J40" s="26">
        <f>F40-G40</f>
        <v/>
      </c>
      <c r="K40" s="26">
        <f>$I40*1000000000+($J40+1000)*100000+$F40*100+(51-ROW())</f>
        <v/>
      </c>
      <c r="L40" s="26">
        <f>IF($T40&gt;0,$T40,SUMPRODUCT(($A$4:$A$51=$A40)*($K$4:$K$51&gt;$K40))+1)</f>
        <v/>
      </c>
      <c r="M40" s="26">
        <f>($L40&lt;=2)</f>
        <v/>
      </c>
      <c r="N40" s="26">
        <f>$I40+(3-$H40)*3</f>
        <v/>
      </c>
      <c r="O40" s="26">
        <f>SUMPRODUCT(($A$4:$A$51=$A40)*($I$4:$I$51&gt;$N40))&gt;=2</f>
        <v/>
      </c>
      <c r="P40" s="25">
        <f>IF(SUMPRODUCT(($A$4:$A$51=$A40)*($H$4:$H$51&lt;3))=0,IF($M40,"Qualificata","Eliminata"),IF($O40,"Fuori dai giochi",IF($M40,"In zona qualif.","In corsa")))</f>
        <v/>
      </c>
      <c r="Q40" s="25">
        <f>IF($S40=0,"",IF($R40=0,"NON deve passare",IF($R40&gt;=$S40,"DEVE passare","contesa")))</f>
        <v/>
      </c>
      <c r="R40">
        <f>COUNTIF(Scommesse!$D$2:$D$151,$B40)+COUNTIF(Scommesse!$E$2:$E$151,$B40)</f>
        <v/>
      </c>
      <c r="S40">
        <f>COUNTIF(Scommesse!$C$2:$C$151,$A40)</f>
        <v/>
      </c>
      <c r="X40">
        <f>$L40</f>
        <v/>
      </c>
      <c r="Y40">
        <f>$B40</f>
        <v/>
      </c>
      <c r="Z40">
        <f>$I40</f>
        <v/>
      </c>
      <c r="AA40">
        <f>MAX(0,3-$H40)</f>
        <v/>
      </c>
      <c r="AB40">
        <f>IF($S40=0,"",IF($R40=0,"⛔",IF($R40&gt;=$S40,"✅","·")))</f>
        <v/>
      </c>
      <c r="AC40">
        <f>IF($S40=0,0,IF($R40=0,-1,IF($R40&gt;=$S40,1,0)))</f>
        <v/>
      </c>
    </row>
    <row r="41">
      <c r="A41" s="26" t="inlineStr">
        <is>
          <t>J</t>
        </is>
      </c>
      <c r="B41" s="25" t="inlineStr">
        <is>
          <t>Austria</t>
        </is>
      </c>
      <c r="C41" s="34" t="n">
        <v>0</v>
      </c>
      <c r="D41" s="34" t="n">
        <v>0</v>
      </c>
      <c r="E41" s="34" t="n">
        <v>0</v>
      </c>
      <c r="F41" s="34" t="n">
        <v>0</v>
      </c>
      <c r="G41" s="34" t="n">
        <v>0</v>
      </c>
      <c r="H41" s="26">
        <f>C41+D41+E41</f>
        <v/>
      </c>
      <c r="I41" s="26">
        <f>C41*3+D41</f>
        <v/>
      </c>
      <c r="J41" s="26">
        <f>F41-G41</f>
        <v/>
      </c>
      <c r="K41" s="26">
        <f>$I41*1000000000+($J41+1000)*100000+$F41*100+(51-ROW())</f>
        <v/>
      </c>
      <c r="L41" s="26">
        <f>IF($T41&gt;0,$T41,SUMPRODUCT(($A$4:$A$51=$A41)*($K$4:$K$51&gt;$K41))+1)</f>
        <v/>
      </c>
      <c r="M41" s="26">
        <f>($L41&lt;=2)</f>
        <v/>
      </c>
      <c r="N41" s="26">
        <f>$I41+(3-$H41)*3</f>
        <v/>
      </c>
      <c r="O41" s="26">
        <f>SUMPRODUCT(($A$4:$A$51=$A41)*($I$4:$I$51&gt;$N41))&gt;=2</f>
        <v/>
      </c>
      <c r="P41" s="25">
        <f>IF(SUMPRODUCT(($A$4:$A$51=$A41)*($H$4:$H$51&lt;3))=0,IF($M41,"Qualificata","Eliminata"),IF($O41,"Fuori dai giochi",IF($M41,"In zona qualif.","In corsa")))</f>
        <v/>
      </c>
      <c r="Q41" s="25">
        <f>IF($S41=0,"",IF($R41=0,"NON deve passare",IF($R41&gt;=$S41,"DEVE passare","contesa")))</f>
        <v/>
      </c>
      <c r="R41">
        <f>COUNTIF(Scommesse!$D$2:$D$151,$B41)+COUNTIF(Scommesse!$E$2:$E$151,$B41)</f>
        <v/>
      </c>
      <c r="S41">
        <f>COUNTIF(Scommesse!$C$2:$C$151,$A41)</f>
        <v/>
      </c>
      <c r="X41">
        <f>$L41</f>
        <v/>
      </c>
      <c r="Y41">
        <f>$B41</f>
        <v/>
      </c>
      <c r="Z41">
        <f>$I41</f>
        <v/>
      </c>
      <c r="AA41">
        <f>MAX(0,3-$H41)</f>
        <v/>
      </c>
      <c r="AB41">
        <f>IF($S41=0,"",IF($R41=0,"⛔",IF($R41&gt;=$S41,"✅","·")))</f>
        <v/>
      </c>
      <c r="AC41">
        <f>IF($S41=0,0,IF($R41=0,-1,IF($R41&gt;=$S41,1,0)))</f>
        <v/>
      </c>
    </row>
    <row r="42">
      <c r="A42" s="26" t="inlineStr">
        <is>
          <t>J</t>
        </is>
      </c>
      <c r="B42" s="25" t="inlineStr">
        <is>
          <t>Algeria</t>
        </is>
      </c>
      <c r="C42" s="34" t="n">
        <v>0</v>
      </c>
      <c r="D42" s="34" t="n">
        <v>0</v>
      </c>
      <c r="E42" s="34" t="n">
        <v>0</v>
      </c>
      <c r="F42" s="34" t="n">
        <v>0</v>
      </c>
      <c r="G42" s="34" t="n">
        <v>0</v>
      </c>
      <c r="H42" s="26">
        <f>C42+D42+E42</f>
        <v/>
      </c>
      <c r="I42" s="26">
        <f>C42*3+D42</f>
        <v/>
      </c>
      <c r="J42" s="26">
        <f>F42-G42</f>
        <v/>
      </c>
      <c r="K42" s="26">
        <f>$I42*1000000000+($J42+1000)*100000+$F42*100+(51-ROW())</f>
        <v/>
      </c>
      <c r="L42" s="26">
        <f>IF($T42&gt;0,$T42,SUMPRODUCT(($A$4:$A$51=$A42)*($K$4:$K$51&gt;$K42))+1)</f>
        <v/>
      </c>
      <c r="M42" s="26">
        <f>($L42&lt;=2)</f>
        <v/>
      </c>
      <c r="N42" s="26">
        <f>$I42+(3-$H42)*3</f>
        <v/>
      </c>
      <c r="O42" s="26">
        <f>SUMPRODUCT(($A$4:$A$51=$A42)*($I$4:$I$51&gt;$N42))&gt;=2</f>
        <v/>
      </c>
      <c r="P42" s="25">
        <f>IF(SUMPRODUCT(($A$4:$A$51=$A42)*($H$4:$H$51&lt;3))=0,IF($M42,"Qualificata","Eliminata"),IF($O42,"Fuori dai giochi",IF($M42,"In zona qualif.","In corsa")))</f>
        <v/>
      </c>
      <c r="Q42" s="25">
        <f>IF($S42=0,"",IF($R42=0,"NON deve passare",IF($R42&gt;=$S42,"DEVE passare","contesa")))</f>
        <v/>
      </c>
      <c r="R42">
        <f>COUNTIF(Scommesse!$D$2:$D$151,$B42)+COUNTIF(Scommesse!$E$2:$E$151,$B42)</f>
        <v/>
      </c>
      <c r="S42">
        <f>COUNTIF(Scommesse!$C$2:$C$151,$A42)</f>
        <v/>
      </c>
      <c r="X42">
        <f>$L42</f>
        <v/>
      </c>
      <c r="Y42">
        <f>$B42</f>
        <v/>
      </c>
      <c r="Z42">
        <f>$I42</f>
        <v/>
      </c>
      <c r="AA42">
        <f>MAX(0,3-$H42)</f>
        <v/>
      </c>
      <c r="AB42">
        <f>IF($S42=0,"",IF($R42=0,"⛔",IF($R42&gt;=$S42,"✅","·")))</f>
        <v/>
      </c>
      <c r="AC42">
        <f>IF($S42=0,0,IF($R42=0,-1,IF($R42&gt;=$S42,1,0)))</f>
        <v/>
      </c>
    </row>
    <row r="43">
      <c r="A43" s="26" t="inlineStr">
        <is>
          <t>J</t>
        </is>
      </c>
      <c r="B43" s="25" t="inlineStr">
        <is>
          <t>Giordania</t>
        </is>
      </c>
      <c r="C43" s="34" t="n">
        <v>0</v>
      </c>
      <c r="D43" s="34" t="n">
        <v>0</v>
      </c>
      <c r="E43" s="34" t="n">
        <v>0</v>
      </c>
      <c r="F43" s="34" t="n">
        <v>0</v>
      </c>
      <c r="G43" s="34" t="n">
        <v>0</v>
      </c>
      <c r="H43" s="26">
        <f>C43+D43+E43</f>
        <v/>
      </c>
      <c r="I43" s="26">
        <f>C43*3+D43</f>
        <v/>
      </c>
      <c r="J43" s="26">
        <f>F43-G43</f>
        <v/>
      </c>
      <c r="K43" s="26">
        <f>$I43*1000000000+($J43+1000)*100000+$F43*100+(51-ROW())</f>
        <v/>
      </c>
      <c r="L43" s="26">
        <f>IF($T43&gt;0,$T43,SUMPRODUCT(($A$4:$A$51=$A43)*($K$4:$K$51&gt;$K43))+1)</f>
        <v/>
      </c>
      <c r="M43" s="26">
        <f>($L43&lt;=2)</f>
        <v/>
      </c>
      <c r="N43" s="26">
        <f>$I43+(3-$H43)*3</f>
        <v/>
      </c>
      <c r="O43" s="26">
        <f>SUMPRODUCT(($A$4:$A$51=$A43)*($I$4:$I$51&gt;$N43))&gt;=2</f>
        <v/>
      </c>
      <c r="P43" s="25">
        <f>IF(SUMPRODUCT(($A$4:$A$51=$A43)*($H$4:$H$51&lt;3))=0,IF($M43,"Qualificata","Eliminata"),IF($O43,"Fuori dai giochi",IF($M43,"In zona qualif.","In corsa")))</f>
        <v/>
      </c>
      <c r="Q43" s="25">
        <f>IF($S43=0,"",IF($R43=0,"NON deve passare",IF($R43&gt;=$S43,"DEVE passare","contesa")))</f>
        <v/>
      </c>
      <c r="R43">
        <f>COUNTIF(Scommesse!$D$2:$D$151,$B43)+COUNTIF(Scommesse!$E$2:$E$151,$B43)</f>
        <v/>
      </c>
      <c r="S43">
        <f>COUNTIF(Scommesse!$C$2:$C$151,$A43)</f>
        <v/>
      </c>
      <c r="X43">
        <f>$L43</f>
        <v/>
      </c>
      <c r="Y43">
        <f>$B43</f>
        <v/>
      </c>
      <c r="Z43">
        <f>$I43</f>
        <v/>
      </c>
      <c r="AA43">
        <f>MAX(0,3-$H43)</f>
        <v/>
      </c>
      <c r="AB43">
        <f>IF($S43=0,"",IF($R43=0,"⛔",IF($R43&gt;=$S43,"✅","·")))</f>
        <v/>
      </c>
      <c r="AC43">
        <f>IF($S43=0,0,IF($R43=0,-1,IF($R43&gt;=$S43,1,0)))</f>
        <v/>
      </c>
    </row>
    <row r="44">
      <c r="A44" s="26" t="inlineStr">
        <is>
          <t>K</t>
        </is>
      </c>
      <c r="B44" s="25" t="inlineStr">
        <is>
          <t>Portogallo</t>
        </is>
      </c>
      <c r="C44" s="34" t="n">
        <v>0</v>
      </c>
      <c r="D44" s="34" t="n">
        <v>0</v>
      </c>
      <c r="E44" s="34" t="n">
        <v>0</v>
      </c>
      <c r="F44" s="34" t="n">
        <v>0</v>
      </c>
      <c r="G44" s="34" t="n">
        <v>0</v>
      </c>
      <c r="H44" s="26">
        <f>C44+D44+E44</f>
        <v/>
      </c>
      <c r="I44" s="26">
        <f>C44*3+D44</f>
        <v/>
      </c>
      <c r="J44" s="26">
        <f>F44-G44</f>
        <v/>
      </c>
      <c r="K44" s="26">
        <f>$I44*1000000000+($J44+1000)*100000+$F44*100+(51-ROW())</f>
        <v/>
      </c>
      <c r="L44" s="26">
        <f>IF($T44&gt;0,$T44,SUMPRODUCT(($A$4:$A$51=$A44)*($K$4:$K$51&gt;$K44))+1)</f>
        <v/>
      </c>
      <c r="M44" s="26">
        <f>($L44&lt;=2)</f>
        <v/>
      </c>
      <c r="N44" s="26">
        <f>$I44+(3-$H44)*3</f>
        <v/>
      </c>
      <c r="O44" s="26">
        <f>SUMPRODUCT(($A$4:$A$51=$A44)*($I$4:$I$51&gt;$N44))&gt;=2</f>
        <v/>
      </c>
      <c r="P44" s="25">
        <f>IF(SUMPRODUCT(($A$4:$A$51=$A44)*($H$4:$H$51&lt;3))=0,IF($M44,"Qualificata","Eliminata"),IF($O44,"Fuori dai giochi",IF($M44,"In zona qualif.","In corsa")))</f>
        <v/>
      </c>
      <c r="Q44" s="25">
        <f>IF($S44=0,"",IF($R44=0,"NON deve passare",IF($R44&gt;=$S44,"DEVE passare","contesa")))</f>
        <v/>
      </c>
      <c r="R44">
        <f>COUNTIF(Scommesse!$D$2:$D$151,$B44)+COUNTIF(Scommesse!$E$2:$E$151,$B44)</f>
        <v/>
      </c>
      <c r="S44">
        <f>COUNTIF(Scommesse!$C$2:$C$151,$A44)</f>
        <v/>
      </c>
      <c r="X44">
        <f>$L44</f>
        <v/>
      </c>
      <c r="Y44">
        <f>$B44</f>
        <v/>
      </c>
      <c r="Z44">
        <f>$I44</f>
        <v/>
      </c>
      <c r="AA44">
        <f>MAX(0,3-$H44)</f>
        <v/>
      </c>
      <c r="AB44">
        <f>IF($S44=0,"",IF($R44=0,"⛔",IF($R44&gt;=$S44,"✅","·")))</f>
        <v/>
      </c>
      <c r="AC44">
        <f>IF($S44=0,0,IF($R44=0,-1,IF($R44&gt;=$S44,1,0)))</f>
        <v/>
      </c>
    </row>
    <row r="45">
      <c r="A45" s="26" t="inlineStr">
        <is>
          <t>K</t>
        </is>
      </c>
      <c r="B45" s="25" t="inlineStr">
        <is>
          <t>Colombia</t>
        </is>
      </c>
      <c r="C45" s="34" t="n">
        <v>0</v>
      </c>
      <c r="D45" s="34" t="n">
        <v>0</v>
      </c>
      <c r="E45" s="34" t="n">
        <v>0</v>
      </c>
      <c r="F45" s="34" t="n">
        <v>0</v>
      </c>
      <c r="G45" s="34" t="n">
        <v>0</v>
      </c>
      <c r="H45" s="26">
        <f>C45+D45+E45</f>
        <v/>
      </c>
      <c r="I45" s="26">
        <f>C45*3+D45</f>
        <v/>
      </c>
      <c r="J45" s="26">
        <f>F45-G45</f>
        <v/>
      </c>
      <c r="K45" s="26">
        <f>$I45*1000000000+($J45+1000)*100000+$F45*100+(51-ROW())</f>
        <v/>
      </c>
      <c r="L45" s="26">
        <f>IF($T45&gt;0,$T45,SUMPRODUCT(($A$4:$A$51=$A45)*($K$4:$K$51&gt;$K45))+1)</f>
        <v/>
      </c>
      <c r="M45" s="26">
        <f>($L45&lt;=2)</f>
        <v/>
      </c>
      <c r="N45" s="26">
        <f>$I45+(3-$H45)*3</f>
        <v/>
      </c>
      <c r="O45" s="26">
        <f>SUMPRODUCT(($A$4:$A$51=$A45)*($I$4:$I$51&gt;$N45))&gt;=2</f>
        <v/>
      </c>
      <c r="P45" s="25">
        <f>IF(SUMPRODUCT(($A$4:$A$51=$A45)*($H$4:$H$51&lt;3))=0,IF($M45,"Qualificata","Eliminata"),IF($O45,"Fuori dai giochi",IF($M45,"In zona qualif.","In corsa")))</f>
        <v/>
      </c>
      <c r="Q45" s="25">
        <f>IF($S45=0,"",IF($R45=0,"NON deve passare",IF($R45&gt;=$S45,"DEVE passare","contesa")))</f>
        <v/>
      </c>
      <c r="R45">
        <f>COUNTIF(Scommesse!$D$2:$D$151,$B45)+COUNTIF(Scommesse!$E$2:$E$151,$B45)</f>
        <v/>
      </c>
      <c r="S45">
        <f>COUNTIF(Scommesse!$C$2:$C$151,$A45)</f>
        <v/>
      </c>
      <c r="X45">
        <f>$L45</f>
        <v/>
      </c>
      <c r="Y45">
        <f>$B45</f>
        <v/>
      </c>
      <c r="Z45">
        <f>$I45</f>
        <v/>
      </c>
      <c r="AA45">
        <f>MAX(0,3-$H45)</f>
        <v/>
      </c>
      <c r="AB45">
        <f>IF($S45=0,"",IF($R45=0,"⛔",IF($R45&gt;=$S45,"✅","·")))</f>
        <v/>
      </c>
      <c r="AC45">
        <f>IF($S45=0,0,IF($R45=0,-1,IF($R45&gt;=$S45,1,0)))</f>
        <v/>
      </c>
    </row>
    <row r="46">
      <c r="A46" s="26" t="inlineStr">
        <is>
          <t>K</t>
        </is>
      </c>
      <c r="B46" s="25" t="inlineStr">
        <is>
          <t>Rd Congo</t>
        </is>
      </c>
      <c r="C46" s="34" t="n">
        <v>0</v>
      </c>
      <c r="D46" s="34" t="n">
        <v>0</v>
      </c>
      <c r="E46" s="34" t="n">
        <v>0</v>
      </c>
      <c r="F46" s="34" t="n">
        <v>0</v>
      </c>
      <c r="G46" s="34" t="n">
        <v>0</v>
      </c>
      <c r="H46" s="26">
        <f>C46+D46+E46</f>
        <v/>
      </c>
      <c r="I46" s="26">
        <f>C46*3+D46</f>
        <v/>
      </c>
      <c r="J46" s="26">
        <f>F46-G46</f>
        <v/>
      </c>
      <c r="K46" s="26">
        <f>$I46*1000000000+($J46+1000)*100000+$F46*100+(51-ROW())</f>
        <v/>
      </c>
      <c r="L46" s="26">
        <f>IF($T46&gt;0,$T46,SUMPRODUCT(($A$4:$A$51=$A46)*($K$4:$K$51&gt;$K46))+1)</f>
        <v/>
      </c>
      <c r="M46" s="26">
        <f>($L46&lt;=2)</f>
        <v/>
      </c>
      <c r="N46" s="26">
        <f>$I46+(3-$H46)*3</f>
        <v/>
      </c>
      <c r="O46" s="26">
        <f>SUMPRODUCT(($A$4:$A$51=$A46)*($I$4:$I$51&gt;$N46))&gt;=2</f>
        <v/>
      </c>
      <c r="P46" s="25">
        <f>IF(SUMPRODUCT(($A$4:$A$51=$A46)*($H$4:$H$51&lt;3))=0,IF($M46,"Qualificata","Eliminata"),IF($O46,"Fuori dai giochi",IF($M46,"In zona qualif.","In corsa")))</f>
        <v/>
      </c>
      <c r="Q46" s="25">
        <f>IF($S46=0,"",IF($R46=0,"NON deve passare",IF($R46&gt;=$S46,"DEVE passare","contesa")))</f>
        <v/>
      </c>
      <c r="R46">
        <f>COUNTIF(Scommesse!$D$2:$D$151,$B46)+COUNTIF(Scommesse!$E$2:$E$151,$B46)</f>
        <v/>
      </c>
      <c r="S46">
        <f>COUNTIF(Scommesse!$C$2:$C$151,$A46)</f>
        <v/>
      </c>
      <c r="X46">
        <f>$L46</f>
        <v/>
      </c>
      <c r="Y46">
        <f>$B46</f>
        <v/>
      </c>
      <c r="Z46">
        <f>$I46</f>
        <v/>
      </c>
      <c r="AA46">
        <f>MAX(0,3-$H46)</f>
        <v/>
      </c>
      <c r="AB46">
        <f>IF($S46=0,"",IF($R46=0,"⛔",IF($R46&gt;=$S46,"✅","·")))</f>
        <v/>
      </c>
      <c r="AC46">
        <f>IF($S46=0,0,IF($R46=0,-1,IF($R46&gt;=$S46,1,0)))</f>
        <v/>
      </c>
    </row>
    <row r="47">
      <c r="A47" s="26" t="inlineStr">
        <is>
          <t>K</t>
        </is>
      </c>
      <c r="B47" s="25" t="inlineStr">
        <is>
          <t>Uzbekistan</t>
        </is>
      </c>
      <c r="C47" s="34" t="n">
        <v>0</v>
      </c>
      <c r="D47" s="34" t="n">
        <v>0</v>
      </c>
      <c r="E47" s="34" t="n">
        <v>0</v>
      </c>
      <c r="F47" s="34" t="n">
        <v>0</v>
      </c>
      <c r="G47" s="34" t="n">
        <v>0</v>
      </c>
      <c r="H47" s="26">
        <f>C47+D47+E47</f>
        <v/>
      </c>
      <c r="I47" s="26">
        <f>C47*3+D47</f>
        <v/>
      </c>
      <c r="J47" s="26">
        <f>F47-G47</f>
        <v/>
      </c>
      <c r="K47" s="26">
        <f>$I47*1000000000+($J47+1000)*100000+$F47*100+(51-ROW())</f>
        <v/>
      </c>
      <c r="L47" s="26">
        <f>IF($T47&gt;0,$T47,SUMPRODUCT(($A$4:$A$51=$A47)*($K$4:$K$51&gt;$K47))+1)</f>
        <v/>
      </c>
      <c r="M47" s="26">
        <f>($L47&lt;=2)</f>
        <v/>
      </c>
      <c r="N47" s="26">
        <f>$I47+(3-$H47)*3</f>
        <v/>
      </c>
      <c r="O47" s="26">
        <f>SUMPRODUCT(($A$4:$A$51=$A47)*($I$4:$I$51&gt;$N47))&gt;=2</f>
        <v/>
      </c>
      <c r="P47" s="25">
        <f>IF(SUMPRODUCT(($A$4:$A$51=$A47)*($H$4:$H$51&lt;3))=0,IF($M47,"Qualificata","Eliminata"),IF($O47,"Fuori dai giochi",IF($M47,"In zona qualif.","In corsa")))</f>
        <v/>
      </c>
      <c r="Q47" s="25">
        <f>IF($S47=0,"",IF($R47=0,"NON deve passare",IF($R47&gt;=$S47,"DEVE passare","contesa")))</f>
        <v/>
      </c>
      <c r="R47">
        <f>COUNTIF(Scommesse!$D$2:$D$151,$B47)+COUNTIF(Scommesse!$E$2:$E$151,$B47)</f>
        <v/>
      </c>
      <c r="S47">
        <f>COUNTIF(Scommesse!$C$2:$C$151,$A47)</f>
        <v/>
      </c>
      <c r="X47">
        <f>$L47</f>
        <v/>
      </c>
      <c r="Y47">
        <f>$B47</f>
        <v/>
      </c>
      <c r="Z47">
        <f>$I47</f>
        <v/>
      </c>
      <c r="AA47">
        <f>MAX(0,3-$H47)</f>
        <v/>
      </c>
      <c r="AB47">
        <f>IF($S47=0,"",IF($R47=0,"⛔",IF($R47&gt;=$S47,"✅","·")))</f>
        <v/>
      </c>
      <c r="AC47">
        <f>IF($S47=0,0,IF($R47=0,-1,IF($R47&gt;=$S47,1,0)))</f>
        <v/>
      </c>
    </row>
    <row r="48">
      <c r="A48" s="26" t="inlineStr">
        <is>
          <t>L</t>
        </is>
      </c>
      <c r="B48" s="25" t="inlineStr">
        <is>
          <t>Inghilterra</t>
        </is>
      </c>
      <c r="C48" s="34" t="n">
        <v>0</v>
      </c>
      <c r="D48" s="34" t="n">
        <v>0</v>
      </c>
      <c r="E48" s="34" t="n">
        <v>0</v>
      </c>
      <c r="F48" s="34" t="n">
        <v>0</v>
      </c>
      <c r="G48" s="34" t="n">
        <v>0</v>
      </c>
      <c r="H48" s="26">
        <f>C48+D48+E48</f>
        <v/>
      </c>
      <c r="I48" s="26">
        <f>C48*3+D48</f>
        <v/>
      </c>
      <c r="J48" s="26">
        <f>F48-G48</f>
        <v/>
      </c>
      <c r="K48" s="26">
        <f>$I48*1000000000+($J48+1000)*100000+$F48*100+(51-ROW())</f>
        <v/>
      </c>
      <c r="L48" s="26">
        <f>IF($T48&gt;0,$T48,SUMPRODUCT(($A$4:$A$51=$A48)*($K$4:$K$51&gt;$K48))+1)</f>
        <v/>
      </c>
      <c r="M48" s="26">
        <f>($L48&lt;=2)</f>
        <v/>
      </c>
      <c r="N48" s="26">
        <f>$I48+(3-$H48)*3</f>
        <v/>
      </c>
      <c r="O48" s="26">
        <f>SUMPRODUCT(($A$4:$A$51=$A48)*($I$4:$I$51&gt;$N48))&gt;=2</f>
        <v/>
      </c>
      <c r="P48" s="25">
        <f>IF(SUMPRODUCT(($A$4:$A$51=$A48)*($H$4:$H$51&lt;3))=0,IF($M48,"Qualificata","Eliminata"),IF($O48,"Fuori dai giochi",IF($M48,"In zona qualif.","In corsa")))</f>
        <v/>
      </c>
      <c r="Q48" s="25">
        <f>IF($S48=0,"",IF($R48=0,"NON deve passare",IF($R48&gt;=$S48,"DEVE passare","contesa")))</f>
        <v/>
      </c>
      <c r="R48">
        <f>COUNTIF(Scommesse!$D$2:$D$151,$B48)+COUNTIF(Scommesse!$E$2:$E$151,$B48)</f>
        <v/>
      </c>
      <c r="S48">
        <f>COUNTIF(Scommesse!$C$2:$C$151,$A48)</f>
        <v/>
      </c>
      <c r="X48">
        <f>$L48</f>
        <v/>
      </c>
      <c r="Y48">
        <f>$B48</f>
        <v/>
      </c>
      <c r="Z48">
        <f>$I48</f>
        <v/>
      </c>
      <c r="AA48">
        <f>MAX(0,3-$H48)</f>
        <v/>
      </c>
      <c r="AB48">
        <f>IF($S48=0,"",IF($R48=0,"⛔",IF($R48&gt;=$S48,"✅","·")))</f>
        <v/>
      </c>
      <c r="AC48">
        <f>IF($S48=0,0,IF($R48=0,-1,IF($R48&gt;=$S48,1,0)))</f>
        <v/>
      </c>
    </row>
    <row r="49">
      <c r="A49" s="26" t="inlineStr">
        <is>
          <t>L</t>
        </is>
      </c>
      <c r="B49" s="25" t="inlineStr">
        <is>
          <t>Croazia</t>
        </is>
      </c>
      <c r="C49" s="34" t="n">
        <v>0</v>
      </c>
      <c r="D49" s="34" t="n">
        <v>0</v>
      </c>
      <c r="E49" s="34" t="n">
        <v>0</v>
      </c>
      <c r="F49" s="34" t="n">
        <v>0</v>
      </c>
      <c r="G49" s="34" t="n">
        <v>0</v>
      </c>
      <c r="H49" s="26">
        <f>C49+D49+E49</f>
        <v/>
      </c>
      <c r="I49" s="26">
        <f>C49*3+D49</f>
        <v/>
      </c>
      <c r="J49" s="26">
        <f>F49-G49</f>
        <v/>
      </c>
      <c r="K49" s="26">
        <f>$I49*1000000000+($J49+1000)*100000+$F49*100+(51-ROW())</f>
        <v/>
      </c>
      <c r="L49" s="26">
        <f>IF($T49&gt;0,$T49,SUMPRODUCT(($A$4:$A$51=$A49)*($K$4:$K$51&gt;$K49))+1)</f>
        <v/>
      </c>
      <c r="M49" s="26">
        <f>($L49&lt;=2)</f>
        <v/>
      </c>
      <c r="N49" s="26">
        <f>$I49+(3-$H49)*3</f>
        <v/>
      </c>
      <c r="O49" s="26">
        <f>SUMPRODUCT(($A$4:$A$51=$A49)*($I$4:$I$51&gt;$N49))&gt;=2</f>
        <v/>
      </c>
      <c r="P49" s="25">
        <f>IF(SUMPRODUCT(($A$4:$A$51=$A49)*($H$4:$H$51&lt;3))=0,IF($M49,"Qualificata","Eliminata"),IF($O49,"Fuori dai giochi",IF($M49,"In zona qualif.","In corsa")))</f>
        <v/>
      </c>
      <c r="Q49" s="25">
        <f>IF($S49=0,"",IF($R49=0,"NON deve passare",IF($R49&gt;=$S49,"DEVE passare","contesa")))</f>
        <v/>
      </c>
      <c r="R49">
        <f>COUNTIF(Scommesse!$D$2:$D$151,$B49)+COUNTIF(Scommesse!$E$2:$E$151,$B49)</f>
        <v/>
      </c>
      <c r="S49">
        <f>COUNTIF(Scommesse!$C$2:$C$151,$A49)</f>
        <v/>
      </c>
      <c r="X49">
        <f>$L49</f>
        <v/>
      </c>
      <c r="Y49">
        <f>$B49</f>
        <v/>
      </c>
      <c r="Z49">
        <f>$I49</f>
        <v/>
      </c>
      <c r="AA49">
        <f>MAX(0,3-$H49)</f>
        <v/>
      </c>
      <c r="AB49">
        <f>IF($S49=0,"",IF($R49=0,"⛔",IF($R49&gt;=$S49,"✅","·")))</f>
        <v/>
      </c>
      <c r="AC49">
        <f>IF($S49=0,0,IF($R49=0,-1,IF($R49&gt;=$S49,1,0)))</f>
        <v/>
      </c>
    </row>
    <row r="50">
      <c r="A50" s="26" t="inlineStr">
        <is>
          <t>L</t>
        </is>
      </c>
      <c r="B50" s="25" t="inlineStr">
        <is>
          <t>Ghana</t>
        </is>
      </c>
      <c r="C50" s="34" t="n">
        <v>0</v>
      </c>
      <c r="D50" s="34" t="n">
        <v>0</v>
      </c>
      <c r="E50" s="34" t="n">
        <v>0</v>
      </c>
      <c r="F50" s="34" t="n">
        <v>0</v>
      </c>
      <c r="G50" s="34" t="n">
        <v>0</v>
      </c>
      <c r="H50" s="26">
        <f>C50+D50+E50</f>
        <v/>
      </c>
      <c r="I50" s="26">
        <f>C50*3+D50</f>
        <v/>
      </c>
      <c r="J50" s="26">
        <f>F50-G50</f>
        <v/>
      </c>
      <c r="K50" s="26">
        <f>$I50*1000000000+($J50+1000)*100000+$F50*100+(51-ROW())</f>
        <v/>
      </c>
      <c r="L50" s="26">
        <f>IF($T50&gt;0,$T50,SUMPRODUCT(($A$4:$A$51=$A50)*($K$4:$K$51&gt;$K50))+1)</f>
        <v/>
      </c>
      <c r="M50" s="26">
        <f>($L50&lt;=2)</f>
        <v/>
      </c>
      <c r="N50" s="26">
        <f>$I50+(3-$H50)*3</f>
        <v/>
      </c>
      <c r="O50" s="26">
        <f>SUMPRODUCT(($A$4:$A$51=$A50)*($I$4:$I$51&gt;$N50))&gt;=2</f>
        <v/>
      </c>
      <c r="P50" s="25">
        <f>IF(SUMPRODUCT(($A$4:$A$51=$A50)*($H$4:$H$51&lt;3))=0,IF($M50,"Qualificata","Eliminata"),IF($O50,"Fuori dai giochi",IF($M50,"In zona qualif.","In corsa")))</f>
        <v/>
      </c>
      <c r="Q50" s="25">
        <f>IF($S50=0,"",IF($R50=0,"NON deve passare",IF($R50&gt;=$S50,"DEVE passare","contesa")))</f>
        <v/>
      </c>
      <c r="R50">
        <f>COUNTIF(Scommesse!$D$2:$D$151,$B50)+COUNTIF(Scommesse!$E$2:$E$151,$B50)</f>
        <v/>
      </c>
      <c r="S50">
        <f>COUNTIF(Scommesse!$C$2:$C$151,$A50)</f>
        <v/>
      </c>
      <c r="X50">
        <f>$L50</f>
        <v/>
      </c>
      <c r="Y50">
        <f>$B50</f>
        <v/>
      </c>
      <c r="Z50">
        <f>$I50</f>
        <v/>
      </c>
      <c r="AA50">
        <f>MAX(0,3-$H50)</f>
        <v/>
      </c>
      <c r="AB50">
        <f>IF($S50=0,"",IF($R50=0,"⛔",IF($R50&gt;=$S50,"✅","·")))</f>
        <v/>
      </c>
      <c r="AC50">
        <f>IF($S50=0,0,IF($R50=0,-1,IF($R50&gt;=$S50,1,0)))</f>
        <v/>
      </c>
    </row>
    <row r="51">
      <c r="A51" s="26" t="inlineStr">
        <is>
          <t>L</t>
        </is>
      </c>
      <c r="B51" s="25" t="inlineStr">
        <is>
          <t>Panama</t>
        </is>
      </c>
      <c r="C51" s="34" t="n">
        <v>0</v>
      </c>
      <c r="D51" s="34" t="n">
        <v>0</v>
      </c>
      <c r="E51" s="34" t="n">
        <v>0</v>
      </c>
      <c r="F51" s="34" t="n">
        <v>0</v>
      </c>
      <c r="G51" s="34" t="n">
        <v>0</v>
      </c>
      <c r="H51" s="26">
        <f>C51+D51+E51</f>
        <v/>
      </c>
      <c r="I51" s="26">
        <f>C51*3+D51</f>
        <v/>
      </c>
      <c r="J51" s="26">
        <f>F51-G51</f>
        <v/>
      </c>
      <c r="K51" s="26">
        <f>$I51*1000000000+($J51+1000)*100000+$F51*100+(51-ROW())</f>
        <v/>
      </c>
      <c r="L51" s="26">
        <f>IF($T51&gt;0,$T51,SUMPRODUCT(($A$4:$A$51=$A51)*($K$4:$K$51&gt;$K51))+1)</f>
        <v/>
      </c>
      <c r="M51" s="26">
        <f>($L51&lt;=2)</f>
        <v/>
      </c>
      <c r="N51" s="26">
        <f>$I51+(3-$H51)*3</f>
        <v/>
      </c>
      <c r="O51" s="26">
        <f>SUMPRODUCT(($A$4:$A$51=$A51)*($I$4:$I$51&gt;$N51))&gt;=2</f>
        <v/>
      </c>
      <c r="P51" s="25">
        <f>IF(SUMPRODUCT(($A$4:$A$51=$A51)*($H$4:$H$51&lt;3))=0,IF($M51,"Qualificata","Eliminata"),IF($O51,"Fuori dai giochi",IF($M51,"In zona qualif.","In corsa")))</f>
        <v/>
      </c>
      <c r="Q51" s="25">
        <f>IF($S51=0,"",IF($R51=0,"NON deve passare",IF($R51&gt;=$S51,"DEVE passare","contesa")))</f>
        <v/>
      </c>
      <c r="R51">
        <f>COUNTIF(Scommesse!$D$2:$D$151,$B51)+COUNTIF(Scommesse!$E$2:$E$151,$B51)</f>
        <v/>
      </c>
      <c r="S51">
        <f>COUNTIF(Scommesse!$C$2:$C$151,$A51)</f>
        <v/>
      </c>
      <c r="X51">
        <f>$L51</f>
        <v/>
      </c>
      <c r="Y51">
        <f>$B51</f>
        <v/>
      </c>
      <c r="Z51">
        <f>$I51</f>
        <v/>
      </c>
      <c r="AA51">
        <f>MAX(0,3-$H51)</f>
        <v/>
      </c>
      <c r="AB51">
        <f>IF($S51=0,"",IF($R51=0,"⛔",IF($R51&gt;=$S51,"✅","·")))</f>
        <v/>
      </c>
      <c r="AC51">
        <f>IF($S51=0,0,IF($R51=0,-1,IF($R51&gt;=$S51,1,0)))</f>
        <v/>
      </c>
    </row>
  </sheetData>
  <conditionalFormatting sqref="A4:Q51">
    <cfRule type="expression" priority="1" dxfId="0" stopIfTrue="0">
      <formula>$M4=TRUE</formula>
    </cfRule>
  </conditionalFormatting>
  <conditionalFormatting sqref="O4:O51">
    <cfRule type="expression" priority="2" dxfId="3" stopIfTrue="0">
      <formula>$O4=TRUE</formula>
    </cfRule>
  </conditionalFormatting>
  <conditionalFormatting sqref="Q4:Q51">
    <cfRule type="expression" priority="3" dxfId="6" stopIfTrue="1">
      <formula>ISNUMBER(SEARCH("DEVE",$Q4))</formula>
    </cfRule>
    <cfRule type="expression" priority="4" dxfId="7" stopIfTrue="1">
      <formula>ISNUMBER(SEARCH("NON",$Q4))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Bolletta</t>
        </is>
      </c>
      <c r="B1" s="2" t="inlineStr">
        <is>
          <t>Gruppo</t>
        </is>
      </c>
      <c r="C1" s="2" t="inlineStr">
        <is>
          <t>nSel</t>
        </is>
      </c>
      <c r="D1" s="2" t="inlineStr">
        <is>
          <t>satNow</t>
        </is>
      </c>
      <c r="E1" s="2" t="inlineStr">
        <is>
          <t>closed</t>
        </is>
      </c>
      <c r="F1" s="2" t="inlineStr">
        <is>
          <t>satClosed</t>
        </is>
      </c>
      <c r="G1" s="2" t="inlineStr">
        <is>
          <t>deadSel</t>
        </is>
      </c>
      <c r="H1" s="2" t="inlineStr">
        <is>
          <t>unsat</t>
        </is>
      </c>
      <c r="I1" s="2" t="inlineStr">
        <is>
          <t>code</t>
        </is>
      </c>
    </row>
    <row r="2">
      <c r="A2" t="n">
        <v>1</v>
      </c>
      <c r="B2" t="inlineStr">
        <is>
          <t>C</t>
        </is>
      </c>
      <c r="C2">
        <f>COUNTIFS(Scommesse!$A$2:$A$151,$A2,Scommesse!$C$2:$C$151,$B2)</f>
        <v/>
      </c>
      <c r="D2">
        <f>IF(SUMIFS(Scommesse!$Q$2:$Q$151,Scommesse!$A$2:$A$151,$A2,Scommesse!$C$2:$C$151,$B2)&gt;0,1,0)</f>
        <v/>
      </c>
      <c r="E2">
        <f>IFERROR(INDEX(Classifiche!$V$4:$V$15,MATCH($B2,Classifiche!$U$4:$U$15,0)),FALSE)</f>
        <v/>
      </c>
      <c r="F2">
        <f>IF(AND($D2=1,$E2),1,0)</f>
        <v/>
      </c>
      <c r="G2">
        <f>SUMIFS(Scommesse!$R$2:$R$151,Scommesse!$A$2:$A$151,$A2,Scommesse!$C$2:$C$151,$B2)</f>
        <v/>
      </c>
      <c r="H2">
        <f>IF(AND($C2&gt;0,$G2=$C2),1,0)</f>
        <v/>
      </c>
      <c r="I2">
        <f>IF($F2=1,2,IF($H2=1,-2,IF($D2=1,1,-1)))</f>
        <v/>
      </c>
    </row>
    <row r="3">
      <c r="A3" t="n">
        <v>1</v>
      </c>
      <c r="B3" t="inlineStr">
        <is>
          <t>D</t>
        </is>
      </c>
      <c r="C3">
        <f>COUNTIFS(Scommesse!$A$2:$A$151,$A3,Scommesse!$C$2:$C$151,$B3)</f>
        <v/>
      </c>
      <c r="D3">
        <f>IF(SUMIFS(Scommesse!$Q$2:$Q$151,Scommesse!$A$2:$A$151,$A3,Scommesse!$C$2:$C$151,$B3)&gt;0,1,0)</f>
        <v/>
      </c>
      <c r="E3">
        <f>IFERROR(INDEX(Classifiche!$V$4:$V$15,MATCH($B3,Classifiche!$U$4:$U$15,0)),FALSE)</f>
        <v/>
      </c>
      <c r="F3">
        <f>IF(AND($D3=1,$E3),1,0)</f>
        <v/>
      </c>
      <c r="G3">
        <f>SUMIFS(Scommesse!$R$2:$R$151,Scommesse!$A$2:$A$151,$A3,Scommesse!$C$2:$C$151,$B3)</f>
        <v/>
      </c>
      <c r="H3">
        <f>IF(AND($C3&gt;0,$G3=$C3),1,0)</f>
        <v/>
      </c>
      <c r="I3">
        <f>IF($F3=1,2,IF($H3=1,-2,IF($D3=1,1,-1)))</f>
        <v/>
      </c>
    </row>
    <row r="4">
      <c r="A4" t="n">
        <v>1</v>
      </c>
      <c r="B4" t="inlineStr">
        <is>
          <t>E</t>
        </is>
      </c>
      <c r="C4">
        <f>COUNTIFS(Scommesse!$A$2:$A$151,$A4,Scommesse!$C$2:$C$151,$B4)</f>
        <v/>
      </c>
      <c r="D4">
        <f>IF(SUMIFS(Scommesse!$Q$2:$Q$151,Scommesse!$A$2:$A$151,$A4,Scommesse!$C$2:$C$151,$B4)&gt;0,1,0)</f>
        <v/>
      </c>
      <c r="E4">
        <f>IFERROR(INDEX(Classifiche!$V$4:$V$15,MATCH($B4,Classifiche!$U$4:$U$15,0)),FALSE)</f>
        <v/>
      </c>
      <c r="F4">
        <f>IF(AND($D4=1,$E4),1,0)</f>
        <v/>
      </c>
      <c r="G4">
        <f>SUMIFS(Scommesse!$R$2:$R$151,Scommesse!$A$2:$A$151,$A4,Scommesse!$C$2:$C$151,$B4)</f>
        <v/>
      </c>
      <c r="H4">
        <f>IF(AND($C4&gt;0,$G4=$C4),1,0)</f>
        <v/>
      </c>
      <c r="I4">
        <f>IF($F4=1,2,IF($H4=1,-2,IF($D4=1,1,-1)))</f>
        <v/>
      </c>
    </row>
    <row r="5">
      <c r="A5" t="n">
        <v>1</v>
      </c>
      <c r="B5" t="inlineStr">
        <is>
          <t>F</t>
        </is>
      </c>
      <c r="C5">
        <f>COUNTIFS(Scommesse!$A$2:$A$151,$A5,Scommesse!$C$2:$C$151,$B5)</f>
        <v/>
      </c>
      <c r="D5">
        <f>IF(SUMIFS(Scommesse!$Q$2:$Q$151,Scommesse!$A$2:$A$151,$A5,Scommesse!$C$2:$C$151,$B5)&gt;0,1,0)</f>
        <v/>
      </c>
      <c r="E5">
        <f>IFERROR(INDEX(Classifiche!$V$4:$V$15,MATCH($B5,Classifiche!$U$4:$U$15,0)),FALSE)</f>
        <v/>
      </c>
      <c r="F5">
        <f>IF(AND($D5=1,$E5),1,0)</f>
        <v/>
      </c>
      <c r="G5">
        <f>SUMIFS(Scommesse!$R$2:$R$151,Scommesse!$A$2:$A$151,$A5,Scommesse!$C$2:$C$151,$B5)</f>
        <v/>
      </c>
      <c r="H5">
        <f>IF(AND($C5&gt;0,$G5=$C5),1,0)</f>
        <v/>
      </c>
      <c r="I5">
        <f>IF($F5=1,2,IF($H5=1,-2,IF($D5=1,1,-1)))</f>
        <v/>
      </c>
    </row>
    <row r="6">
      <c r="A6" t="n">
        <v>1</v>
      </c>
      <c r="B6" t="inlineStr">
        <is>
          <t>G</t>
        </is>
      </c>
      <c r="C6">
        <f>COUNTIFS(Scommesse!$A$2:$A$151,$A6,Scommesse!$C$2:$C$151,$B6)</f>
        <v/>
      </c>
      <c r="D6">
        <f>IF(SUMIFS(Scommesse!$Q$2:$Q$151,Scommesse!$A$2:$A$151,$A6,Scommesse!$C$2:$C$151,$B6)&gt;0,1,0)</f>
        <v/>
      </c>
      <c r="E6">
        <f>IFERROR(INDEX(Classifiche!$V$4:$V$15,MATCH($B6,Classifiche!$U$4:$U$15,0)),FALSE)</f>
        <v/>
      </c>
      <c r="F6">
        <f>IF(AND($D6=1,$E6),1,0)</f>
        <v/>
      </c>
      <c r="G6">
        <f>SUMIFS(Scommesse!$R$2:$R$151,Scommesse!$A$2:$A$151,$A6,Scommesse!$C$2:$C$151,$B6)</f>
        <v/>
      </c>
      <c r="H6">
        <f>IF(AND($C6&gt;0,$G6=$C6),1,0)</f>
        <v/>
      </c>
      <c r="I6">
        <f>IF($F6=1,2,IF($H6=1,-2,IF($D6=1,1,-1)))</f>
        <v/>
      </c>
    </row>
    <row r="7">
      <c r="A7" t="n">
        <v>1</v>
      </c>
      <c r="B7" t="inlineStr">
        <is>
          <t>H</t>
        </is>
      </c>
      <c r="C7">
        <f>COUNTIFS(Scommesse!$A$2:$A$151,$A7,Scommesse!$C$2:$C$151,$B7)</f>
        <v/>
      </c>
      <c r="D7">
        <f>IF(SUMIFS(Scommesse!$Q$2:$Q$151,Scommesse!$A$2:$A$151,$A7,Scommesse!$C$2:$C$151,$B7)&gt;0,1,0)</f>
        <v/>
      </c>
      <c r="E7">
        <f>IFERROR(INDEX(Classifiche!$V$4:$V$15,MATCH($B7,Classifiche!$U$4:$U$15,0)),FALSE)</f>
        <v/>
      </c>
      <c r="F7">
        <f>IF(AND($D7=1,$E7),1,0)</f>
        <v/>
      </c>
      <c r="G7">
        <f>SUMIFS(Scommesse!$R$2:$R$151,Scommesse!$A$2:$A$151,$A7,Scommesse!$C$2:$C$151,$B7)</f>
        <v/>
      </c>
      <c r="H7">
        <f>IF(AND($C7&gt;0,$G7=$C7),1,0)</f>
        <v/>
      </c>
      <c r="I7">
        <f>IF($F7=1,2,IF($H7=1,-2,IF($D7=1,1,-1)))</f>
        <v/>
      </c>
    </row>
    <row r="8">
      <c r="A8" t="n">
        <v>1</v>
      </c>
      <c r="B8" t="inlineStr">
        <is>
          <t>I</t>
        </is>
      </c>
      <c r="C8">
        <f>COUNTIFS(Scommesse!$A$2:$A$151,$A8,Scommesse!$C$2:$C$151,$B8)</f>
        <v/>
      </c>
      <c r="D8">
        <f>IF(SUMIFS(Scommesse!$Q$2:$Q$151,Scommesse!$A$2:$A$151,$A8,Scommesse!$C$2:$C$151,$B8)&gt;0,1,0)</f>
        <v/>
      </c>
      <c r="E8">
        <f>IFERROR(INDEX(Classifiche!$V$4:$V$15,MATCH($B8,Classifiche!$U$4:$U$15,0)),FALSE)</f>
        <v/>
      </c>
      <c r="F8">
        <f>IF(AND($D8=1,$E8),1,0)</f>
        <v/>
      </c>
      <c r="G8">
        <f>SUMIFS(Scommesse!$R$2:$R$151,Scommesse!$A$2:$A$151,$A8,Scommesse!$C$2:$C$151,$B8)</f>
        <v/>
      </c>
      <c r="H8">
        <f>IF(AND($C8&gt;0,$G8=$C8),1,0)</f>
        <v/>
      </c>
      <c r="I8">
        <f>IF($F8=1,2,IF($H8=1,-2,IF($D8=1,1,-1)))</f>
        <v/>
      </c>
    </row>
    <row r="9">
      <c r="A9" t="n">
        <v>1</v>
      </c>
      <c r="B9" t="inlineStr">
        <is>
          <t>J</t>
        </is>
      </c>
      <c r="C9">
        <f>COUNTIFS(Scommesse!$A$2:$A$151,$A9,Scommesse!$C$2:$C$151,$B9)</f>
        <v/>
      </c>
      <c r="D9">
        <f>IF(SUMIFS(Scommesse!$Q$2:$Q$151,Scommesse!$A$2:$A$151,$A9,Scommesse!$C$2:$C$151,$B9)&gt;0,1,0)</f>
        <v/>
      </c>
      <c r="E9">
        <f>IFERROR(INDEX(Classifiche!$V$4:$V$15,MATCH($B9,Classifiche!$U$4:$U$15,0)),FALSE)</f>
        <v/>
      </c>
      <c r="F9">
        <f>IF(AND($D9=1,$E9),1,0)</f>
        <v/>
      </c>
      <c r="G9">
        <f>SUMIFS(Scommesse!$R$2:$R$151,Scommesse!$A$2:$A$151,$A9,Scommesse!$C$2:$C$151,$B9)</f>
        <v/>
      </c>
      <c r="H9">
        <f>IF(AND($C9&gt;0,$G9=$C9),1,0)</f>
        <v/>
      </c>
      <c r="I9">
        <f>IF($F9=1,2,IF($H9=1,-2,IF($D9=1,1,-1)))</f>
        <v/>
      </c>
    </row>
    <row r="10">
      <c r="A10" t="n">
        <v>1</v>
      </c>
      <c r="B10" t="inlineStr">
        <is>
          <t>K</t>
        </is>
      </c>
      <c r="C10">
        <f>COUNTIFS(Scommesse!$A$2:$A$151,$A10,Scommesse!$C$2:$C$151,$B10)</f>
        <v/>
      </c>
      <c r="D10">
        <f>IF(SUMIFS(Scommesse!$Q$2:$Q$151,Scommesse!$A$2:$A$151,$A10,Scommesse!$C$2:$C$151,$B10)&gt;0,1,0)</f>
        <v/>
      </c>
      <c r="E10">
        <f>IFERROR(INDEX(Classifiche!$V$4:$V$15,MATCH($B10,Classifiche!$U$4:$U$15,0)),FALSE)</f>
        <v/>
      </c>
      <c r="F10">
        <f>IF(AND($D10=1,$E10),1,0)</f>
        <v/>
      </c>
      <c r="G10">
        <f>SUMIFS(Scommesse!$R$2:$R$151,Scommesse!$A$2:$A$151,$A10,Scommesse!$C$2:$C$151,$B10)</f>
        <v/>
      </c>
      <c r="H10">
        <f>IF(AND($C10&gt;0,$G10=$C10),1,0)</f>
        <v/>
      </c>
      <c r="I10">
        <f>IF($F10=1,2,IF($H10=1,-2,IF($D10=1,1,-1)))</f>
        <v/>
      </c>
    </row>
    <row r="11">
      <c r="A11" t="n">
        <v>1</v>
      </c>
      <c r="B11" t="inlineStr">
        <is>
          <t>L</t>
        </is>
      </c>
      <c r="C11">
        <f>COUNTIFS(Scommesse!$A$2:$A$151,$A11,Scommesse!$C$2:$C$151,$B11)</f>
        <v/>
      </c>
      <c r="D11">
        <f>IF(SUMIFS(Scommesse!$Q$2:$Q$151,Scommesse!$A$2:$A$151,$A11,Scommesse!$C$2:$C$151,$B11)&gt;0,1,0)</f>
        <v/>
      </c>
      <c r="E11">
        <f>IFERROR(INDEX(Classifiche!$V$4:$V$15,MATCH($B11,Classifiche!$U$4:$U$15,0)),FALSE)</f>
        <v/>
      </c>
      <c r="F11">
        <f>IF(AND($D11=1,$E11),1,0)</f>
        <v/>
      </c>
      <c r="G11">
        <f>SUMIFS(Scommesse!$R$2:$R$151,Scommesse!$A$2:$A$151,$A11,Scommesse!$C$2:$C$151,$B11)</f>
        <v/>
      </c>
      <c r="H11">
        <f>IF(AND($C11&gt;0,$G11=$C11),1,0)</f>
        <v/>
      </c>
      <c r="I11">
        <f>IF($F11=1,2,IF($H11=1,-2,IF($D11=1,1,-1)))</f>
        <v/>
      </c>
    </row>
    <row r="12">
      <c r="A12" t="n">
        <v>2</v>
      </c>
      <c r="B12" t="inlineStr">
        <is>
          <t>C</t>
        </is>
      </c>
      <c r="C12">
        <f>COUNTIFS(Scommesse!$A$2:$A$151,$A12,Scommesse!$C$2:$C$151,$B12)</f>
        <v/>
      </c>
      <c r="D12">
        <f>IF(SUMIFS(Scommesse!$Q$2:$Q$151,Scommesse!$A$2:$A$151,$A12,Scommesse!$C$2:$C$151,$B12)&gt;0,1,0)</f>
        <v/>
      </c>
      <c r="E12">
        <f>IFERROR(INDEX(Classifiche!$V$4:$V$15,MATCH($B12,Classifiche!$U$4:$U$15,0)),FALSE)</f>
        <v/>
      </c>
      <c r="F12">
        <f>IF(AND($D12=1,$E12),1,0)</f>
        <v/>
      </c>
      <c r="G12">
        <f>SUMIFS(Scommesse!$R$2:$R$151,Scommesse!$A$2:$A$151,$A12,Scommesse!$C$2:$C$151,$B12)</f>
        <v/>
      </c>
      <c r="H12">
        <f>IF(AND($C12&gt;0,$G12=$C12),1,0)</f>
        <v/>
      </c>
      <c r="I12">
        <f>IF($F12=1,2,IF($H12=1,-2,IF($D12=1,1,-1)))</f>
        <v/>
      </c>
    </row>
    <row r="13">
      <c r="A13" t="n">
        <v>2</v>
      </c>
      <c r="B13" t="inlineStr">
        <is>
          <t>D</t>
        </is>
      </c>
      <c r="C13">
        <f>COUNTIFS(Scommesse!$A$2:$A$151,$A13,Scommesse!$C$2:$C$151,$B13)</f>
        <v/>
      </c>
      <c r="D13">
        <f>IF(SUMIFS(Scommesse!$Q$2:$Q$151,Scommesse!$A$2:$A$151,$A13,Scommesse!$C$2:$C$151,$B13)&gt;0,1,0)</f>
        <v/>
      </c>
      <c r="E13">
        <f>IFERROR(INDEX(Classifiche!$V$4:$V$15,MATCH($B13,Classifiche!$U$4:$U$15,0)),FALSE)</f>
        <v/>
      </c>
      <c r="F13">
        <f>IF(AND($D13=1,$E13),1,0)</f>
        <v/>
      </c>
      <c r="G13">
        <f>SUMIFS(Scommesse!$R$2:$R$151,Scommesse!$A$2:$A$151,$A13,Scommesse!$C$2:$C$151,$B13)</f>
        <v/>
      </c>
      <c r="H13">
        <f>IF(AND($C13&gt;0,$G13=$C13),1,0)</f>
        <v/>
      </c>
      <c r="I13">
        <f>IF($F13=1,2,IF($H13=1,-2,IF($D13=1,1,-1)))</f>
        <v/>
      </c>
    </row>
    <row r="14">
      <c r="A14" t="n">
        <v>2</v>
      </c>
      <c r="B14" t="inlineStr">
        <is>
          <t>E</t>
        </is>
      </c>
      <c r="C14">
        <f>COUNTIFS(Scommesse!$A$2:$A$151,$A14,Scommesse!$C$2:$C$151,$B14)</f>
        <v/>
      </c>
      <c r="D14">
        <f>IF(SUMIFS(Scommesse!$Q$2:$Q$151,Scommesse!$A$2:$A$151,$A14,Scommesse!$C$2:$C$151,$B14)&gt;0,1,0)</f>
        <v/>
      </c>
      <c r="E14">
        <f>IFERROR(INDEX(Classifiche!$V$4:$V$15,MATCH($B14,Classifiche!$U$4:$U$15,0)),FALSE)</f>
        <v/>
      </c>
      <c r="F14">
        <f>IF(AND($D14=1,$E14),1,0)</f>
        <v/>
      </c>
      <c r="G14">
        <f>SUMIFS(Scommesse!$R$2:$R$151,Scommesse!$A$2:$A$151,$A14,Scommesse!$C$2:$C$151,$B14)</f>
        <v/>
      </c>
      <c r="H14">
        <f>IF(AND($C14&gt;0,$G14=$C14),1,0)</f>
        <v/>
      </c>
      <c r="I14">
        <f>IF($F14=1,2,IF($H14=1,-2,IF($D14=1,1,-1)))</f>
        <v/>
      </c>
    </row>
    <row r="15">
      <c r="A15" t="n">
        <v>2</v>
      </c>
      <c r="B15" t="inlineStr">
        <is>
          <t>F</t>
        </is>
      </c>
      <c r="C15">
        <f>COUNTIFS(Scommesse!$A$2:$A$151,$A15,Scommesse!$C$2:$C$151,$B15)</f>
        <v/>
      </c>
      <c r="D15">
        <f>IF(SUMIFS(Scommesse!$Q$2:$Q$151,Scommesse!$A$2:$A$151,$A15,Scommesse!$C$2:$C$151,$B15)&gt;0,1,0)</f>
        <v/>
      </c>
      <c r="E15">
        <f>IFERROR(INDEX(Classifiche!$V$4:$V$15,MATCH($B15,Classifiche!$U$4:$U$15,0)),FALSE)</f>
        <v/>
      </c>
      <c r="F15">
        <f>IF(AND($D15=1,$E15),1,0)</f>
        <v/>
      </c>
      <c r="G15">
        <f>SUMIFS(Scommesse!$R$2:$R$151,Scommesse!$A$2:$A$151,$A15,Scommesse!$C$2:$C$151,$B15)</f>
        <v/>
      </c>
      <c r="H15">
        <f>IF(AND($C15&gt;0,$G15=$C15),1,0)</f>
        <v/>
      </c>
      <c r="I15">
        <f>IF($F15=1,2,IF($H15=1,-2,IF($D15=1,1,-1)))</f>
        <v/>
      </c>
    </row>
    <row r="16">
      <c r="A16" t="n">
        <v>2</v>
      </c>
      <c r="B16" t="inlineStr">
        <is>
          <t>G</t>
        </is>
      </c>
      <c r="C16">
        <f>COUNTIFS(Scommesse!$A$2:$A$151,$A16,Scommesse!$C$2:$C$151,$B16)</f>
        <v/>
      </c>
      <c r="D16">
        <f>IF(SUMIFS(Scommesse!$Q$2:$Q$151,Scommesse!$A$2:$A$151,$A16,Scommesse!$C$2:$C$151,$B16)&gt;0,1,0)</f>
        <v/>
      </c>
      <c r="E16">
        <f>IFERROR(INDEX(Classifiche!$V$4:$V$15,MATCH($B16,Classifiche!$U$4:$U$15,0)),FALSE)</f>
        <v/>
      </c>
      <c r="F16">
        <f>IF(AND($D16=1,$E16),1,0)</f>
        <v/>
      </c>
      <c r="G16">
        <f>SUMIFS(Scommesse!$R$2:$R$151,Scommesse!$A$2:$A$151,$A16,Scommesse!$C$2:$C$151,$B16)</f>
        <v/>
      </c>
      <c r="H16">
        <f>IF(AND($C16&gt;0,$G16=$C16),1,0)</f>
        <v/>
      </c>
      <c r="I16">
        <f>IF($F16=1,2,IF($H16=1,-2,IF($D16=1,1,-1)))</f>
        <v/>
      </c>
    </row>
    <row r="17">
      <c r="A17" t="n">
        <v>2</v>
      </c>
      <c r="B17" t="inlineStr">
        <is>
          <t>H</t>
        </is>
      </c>
      <c r="C17">
        <f>COUNTIFS(Scommesse!$A$2:$A$151,$A17,Scommesse!$C$2:$C$151,$B17)</f>
        <v/>
      </c>
      <c r="D17">
        <f>IF(SUMIFS(Scommesse!$Q$2:$Q$151,Scommesse!$A$2:$A$151,$A17,Scommesse!$C$2:$C$151,$B17)&gt;0,1,0)</f>
        <v/>
      </c>
      <c r="E17">
        <f>IFERROR(INDEX(Classifiche!$V$4:$V$15,MATCH($B17,Classifiche!$U$4:$U$15,0)),FALSE)</f>
        <v/>
      </c>
      <c r="F17">
        <f>IF(AND($D17=1,$E17),1,0)</f>
        <v/>
      </c>
      <c r="G17">
        <f>SUMIFS(Scommesse!$R$2:$R$151,Scommesse!$A$2:$A$151,$A17,Scommesse!$C$2:$C$151,$B17)</f>
        <v/>
      </c>
      <c r="H17">
        <f>IF(AND($C17&gt;0,$G17=$C17),1,0)</f>
        <v/>
      </c>
      <c r="I17">
        <f>IF($F17=1,2,IF($H17=1,-2,IF($D17=1,1,-1)))</f>
        <v/>
      </c>
    </row>
    <row r="18">
      <c r="A18" t="n">
        <v>2</v>
      </c>
      <c r="B18" t="inlineStr">
        <is>
          <t>I</t>
        </is>
      </c>
      <c r="C18">
        <f>COUNTIFS(Scommesse!$A$2:$A$151,$A18,Scommesse!$C$2:$C$151,$B18)</f>
        <v/>
      </c>
      <c r="D18">
        <f>IF(SUMIFS(Scommesse!$Q$2:$Q$151,Scommesse!$A$2:$A$151,$A18,Scommesse!$C$2:$C$151,$B18)&gt;0,1,0)</f>
        <v/>
      </c>
      <c r="E18">
        <f>IFERROR(INDEX(Classifiche!$V$4:$V$15,MATCH($B18,Classifiche!$U$4:$U$15,0)),FALSE)</f>
        <v/>
      </c>
      <c r="F18">
        <f>IF(AND($D18=1,$E18),1,0)</f>
        <v/>
      </c>
      <c r="G18">
        <f>SUMIFS(Scommesse!$R$2:$R$151,Scommesse!$A$2:$A$151,$A18,Scommesse!$C$2:$C$151,$B18)</f>
        <v/>
      </c>
      <c r="H18">
        <f>IF(AND($C18&gt;0,$G18=$C18),1,0)</f>
        <v/>
      </c>
      <c r="I18">
        <f>IF($F18=1,2,IF($H18=1,-2,IF($D18=1,1,-1)))</f>
        <v/>
      </c>
    </row>
    <row r="19">
      <c r="A19" t="n">
        <v>2</v>
      </c>
      <c r="B19" t="inlineStr">
        <is>
          <t>J</t>
        </is>
      </c>
      <c r="C19">
        <f>COUNTIFS(Scommesse!$A$2:$A$151,$A19,Scommesse!$C$2:$C$151,$B19)</f>
        <v/>
      </c>
      <c r="D19">
        <f>IF(SUMIFS(Scommesse!$Q$2:$Q$151,Scommesse!$A$2:$A$151,$A19,Scommesse!$C$2:$C$151,$B19)&gt;0,1,0)</f>
        <v/>
      </c>
      <c r="E19">
        <f>IFERROR(INDEX(Classifiche!$V$4:$V$15,MATCH($B19,Classifiche!$U$4:$U$15,0)),FALSE)</f>
        <v/>
      </c>
      <c r="F19">
        <f>IF(AND($D19=1,$E19),1,0)</f>
        <v/>
      </c>
      <c r="G19">
        <f>SUMIFS(Scommesse!$R$2:$R$151,Scommesse!$A$2:$A$151,$A19,Scommesse!$C$2:$C$151,$B19)</f>
        <v/>
      </c>
      <c r="H19">
        <f>IF(AND($C19&gt;0,$G19=$C19),1,0)</f>
        <v/>
      </c>
      <c r="I19">
        <f>IF($F19=1,2,IF($H19=1,-2,IF($D19=1,1,-1)))</f>
        <v/>
      </c>
    </row>
    <row r="20">
      <c r="A20" t="n">
        <v>2</v>
      </c>
      <c r="B20" t="inlineStr">
        <is>
          <t>K</t>
        </is>
      </c>
      <c r="C20">
        <f>COUNTIFS(Scommesse!$A$2:$A$151,$A20,Scommesse!$C$2:$C$151,$B20)</f>
        <v/>
      </c>
      <c r="D20">
        <f>IF(SUMIFS(Scommesse!$Q$2:$Q$151,Scommesse!$A$2:$A$151,$A20,Scommesse!$C$2:$C$151,$B20)&gt;0,1,0)</f>
        <v/>
      </c>
      <c r="E20">
        <f>IFERROR(INDEX(Classifiche!$V$4:$V$15,MATCH($B20,Classifiche!$U$4:$U$15,0)),FALSE)</f>
        <v/>
      </c>
      <c r="F20">
        <f>IF(AND($D20=1,$E20),1,0)</f>
        <v/>
      </c>
      <c r="G20">
        <f>SUMIFS(Scommesse!$R$2:$R$151,Scommesse!$A$2:$A$151,$A20,Scommesse!$C$2:$C$151,$B20)</f>
        <v/>
      </c>
      <c r="H20">
        <f>IF(AND($C20&gt;0,$G20=$C20),1,0)</f>
        <v/>
      </c>
      <c r="I20">
        <f>IF($F20=1,2,IF($H20=1,-2,IF($D20=1,1,-1)))</f>
        <v/>
      </c>
    </row>
    <row r="21">
      <c r="A21" t="n">
        <v>2</v>
      </c>
      <c r="B21" t="inlineStr">
        <is>
          <t>L</t>
        </is>
      </c>
      <c r="C21">
        <f>COUNTIFS(Scommesse!$A$2:$A$151,$A21,Scommesse!$C$2:$C$151,$B21)</f>
        <v/>
      </c>
      <c r="D21">
        <f>IF(SUMIFS(Scommesse!$Q$2:$Q$151,Scommesse!$A$2:$A$151,$A21,Scommesse!$C$2:$C$151,$B21)&gt;0,1,0)</f>
        <v/>
      </c>
      <c r="E21">
        <f>IFERROR(INDEX(Classifiche!$V$4:$V$15,MATCH($B21,Classifiche!$U$4:$U$15,0)),FALSE)</f>
        <v/>
      </c>
      <c r="F21">
        <f>IF(AND($D21=1,$E21),1,0)</f>
        <v/>
      </c>
      <c r="G21">
        <f>SUMIFS(Scommesse!$R$2:$R$151,Scommesse!$A$2:$A$151,$A21,Scommesse!$C$2:$C$151,$B21)</f>
        <v/>
      </c>
      <c r="H21">
        <f>IF(AND($C21&gt;0,$G21=$C21),1,0)</f>
        <v/>
      </c>
      <c r="I21">
        <f>IF($F21=1,2,IF($H21=1,-2,IF($D21=1,1,-1)))</f>
        <v/>
      </c>
    </row>
    <row r="22">
      <c r="A22" t="n">
        <v>3</v>
      </c>
      <c r="B22" t="inlineStr">
        <is>
          <t>C</t>
        </is>
      </c>
      <c r="C22">
        <f>COUNTIFS(Scommesse!$A$2:$A$151,$A22,Scommesse!$C$2:$C$151,$B22)</f>
        <v/>
      </c>
      <c r="D22">
        <f>IF(SUMIFS(Scommesse!$Q$2:$Q$151,Scommesse!$A$2:$A$151,$A22,Scommesse!$C$2:$C$151,$B22)&gt;0,1,0)</f>
        <v/>
      </c>
      <c r="E22">
        <f>IFERROR(INDEX(Classifiche!$V$4:$V$15,MATCH($B22,Classifiche!$U$4:$U$15,0)),FALSE)</f>
        <v/>
      </c>
      <c r="F22">
        <f>IF(AND($D22=1,$E22),1,0)</f>
        <v/>
      </c>
      <c r="G22">
        <f>SUMIFS(Scommesse!$R$2:$R$151,Scommesse!$A$2:$A$151,$A22,Scommesse!$C$2:$C$151,$B22)</f>
        <v/>
      </c>
      <c r="H22">
        <f>IF(AND($C22&gt;0,$G22=$C22),1,0)</f>
        <v/>
      </c>
      <c r="I22">
        <f>IF($F22=1,2,IF($H22=1,-2,IF($D22=1,1,-1)))</f>
        <v/>
      </c>
    </row>
    <row r="23">
      <c r="A23" t="n">
        <v>3</v>
      </c>
      <c r="B23" t="inlineStr">
        <is>
          <t>D</t>
        </is>
      </c>
      <c r="C23">
        <f>COUNTIFS(Scommesse!$A$2:$A$151,$A23,Scommesse!$C$2:$C$151,$B23)</f>
        <v/>
      </c>
      <c r="D23">
        <f>IF(SUMIFS(Scommesse!$Q$2:$Q$151,Scommesse!$A$2:$A$151,$A23,Scommesse!$C$2:$C$151,$B23)&gt;0,1,0)</f>
        <v/>
      </c>
      <c r="E23">
        <f>IFERROR(INDEX(Classifiche!$V$4:$V$15,MATCH($B23,Classifiche!$U$4:$U$15,0)),FALSE)</f>
        <v/>
      </c>
      <c r="F23">
        <f>IF(AND($D23=1,$E23),1,0)</f>
        <v/>
      </c>
      <c r="G23">
        <f>SUMIFS(Scommesse!$R$2:$R$151,Scommesse!$A$2:$A$151,$A23,Scommesse!$C$2:$C$151,$B23)</f>
        <v/>
      </c>
      <c r="H23">
        <f>IF(AND($C23&gt;0,$G23=$C23),1,0)</f>
        <v/>
      </c>
      <c r="I23">
        <f>IF($F23=1,2,IF($H23=1,-2,IF($D23=1,1,-1)))</f>
        <v/>
      </c>
    </row>
    <row r="24">
      <c r="A24" t="n">
        <v>3</v>
      </c>
      <c r="B24" t="inlineStr">
        <is>
          <t>E</t>
        </is>
      </c>
      <c r="C24">
        <f>COUNTIFS(Scommesse!$A$2:$A$151,$A24,Scommesse!$C$2:$C$151,$B24)</f>
        <v/>
      </c>
      <c r="D24">
        <f>IF(SUMIFS(Scommesse!$Q$2:$Q$151,Scommesse!$A$2:$A$151,$A24,Scommesse!$C$2:$C$151,$B24)&gt;0,1,0)</f>
        <v/>
      </c>
      <c r="E24">
        <f>IFERROR(INDEX(Classifiche!$V$4:$V$15,MATCH($B24,Classifiche!$U$4:$U$15,0)),FALSE)</f>
        <v/>
      </c>
      <c r="F24">
        <f>IF(AND($D24=1,$E24),1,0)</f>
        <v/>
      </c>
      <c r="G24">
        <f>SUMIFS(Scommesse!$R$2:$R$151,Scommesse!$A$2:$A$151,$A24,Scommesse!$C$2:$C$151,$B24)</f>
        <v/>
      </c>
      <c r="H24">
        <f>IF(AND($C24&gt;0,$G24=$C24),1,0)</f>
        <v/>
      </c>
      <c r="I24">
        <f>IF($F24=1,2,IF($H24=1,-2,IF($D24=1,1,-1)))</f>
        <v/>
      </c>
    </row>
    <row r="25">
      <c r="A25" t="n">
        <v>3</v>
      </c>
      <c r="B25" t="inlineStr">
        <is>
          <t>F</t>
        </is>
      </c>
      <c r="C25">
        <f>COUNTIFS(Scommesse!$A$2:$A$151,$A25,Scommesse!$C$2:$C$151,$B25)</f>
        <v/>
      </c>
      <c r="D25">
        <f>IF(SUMIFS(Scommesse!$Q$2:$Q$151,Scommesse!$A$2:$A$151,$A25,Scommesse!$C$2:$C$151,$B25)&gt;0,1,0)</f>
        <v/>
      </c>
      <c r="E25">
        <f>IFERROR(INDEX(Classifiche!$V$4:$V$15,MATCH($B25,Classifiche!$U$4:$U$15,0)),FALSE)</f>
        <v/>
      </c>
      <c r="F25">
        <f>IF(AND($D25=1,$E25),1,0)</f>
        <v/>
      </c>
      <c r="G25">
        <f>SUMIFS(Scommesse!$R$2:$R$151,Scommesse!$A$2:$A$151,$A25,Scommesse!$C$2:$C$151,$B25)</f>
        <v/>
      </c>
      <c r="H25">
        <f>IF(AND($C25&gt;0,$G25=$C25),1,0)</f>
        <v/>
      </c>
      <c r="I25">
        <f>IF($F25=1,2,IF($H25=1,-2,IF($D25=1,1,-1)))</f>
        <v/>
      </c>
    </row>
    <row r="26">
      <c r="A26" t="n">
        <v>3</v>
      </c>
      <c r="B26" t="inlineStr">
        <is>
          <t>G</t>
        </is>
      </c>
      <c r="C26">
        <f>COUNTIFS(Scommesse!$A$2:$A$151,$A26,Scommesse!$C$2:$C$151,$B26)</f>
        <v/>
      </c>
      <c r="D26">
        <f>IF(SUMIFS(Scommesse!$Q$2:$Q$151,Scommesse!$A$2:$A$151,$A26,Scommesse!$C$2:$C$151,$B26)&gt;0,1,0)</f>
        <v/>
      </c>
      <c r="E26">
        <f>IFERROR(INDEX(Classifiche!$V$4:$V$15,MATCH($B26,Classifiche!$U$4:$U$15,0)),FALSE)</f>
        <v/>
      </c>
      <c r="F26">
        <f>IF(AND($D26=1,$E26),1,0)</f>
        <v/>
      </c>
      <c r="G26">
        <f>SUMIFS(Scommesse!$R$2:$R$151,Scommesse!$A$2:$A$151,$A26,Scommesse!$C$2:$C$151,$B26)</f>
        <v/>
      </c>
      <c r="H26">
        <f>IF(AND($C26&gt;0,$G26=$C26),1,0)</f>
        <v/>
      </c>
      <c r="I26">
        <f>IF($F26=1,2,IF($H26=1,-2,IF($D26=1,1,-1)))</f>
        <v/>
      </c>
    </row>
    <row r="27">
      <c r="A27" t="n">
        <v>3</v>
      </c>
      <c r="B27" t="inlineStr">
        <is>
          <t>H</t>
        </is>
      </c>
      <c r="C27">
        <f>COUNTIFS(Scommesse!$A$2:$A$151,$A27,Scommesse!$C$2:$C$151,$B27)</f>
        <v/>
      </c>
      <c r="D27">
        <f>IF(SUMIFS(Scommesse!$Q$2:$Q$151,Scommesse!$A$2:$A$151,$A27,Scommesse!$C$2:$C$151,$B27)&gt;0,1,0)</f>
        <v/>
      </c>
      <c r="E27">
        <f>IFERROR(INDEX(Classifiche!$V$4:$V$15,MATCH($B27,Classifiche!$U$4:$U$15,0)),FALSE)</f>
        <v/>
      </c>
      <c r="F27">
        <f>IF(AND($D27=1,$E27),1,0)</f>
        <v/>
      </c>
      <c r="G27">
        <f>SUMIFS(Scommesse!$R$2:$R$151,Scommesse!$A$2:$A$151,$A27,Scommesse!$C$2:$C$151,$B27)</f>
        <v/>
      </c>
      <c r="H27">
        <f>IF(AND($C27&gt;0,$G27=$C27),1,0)</f>
        <v/>
      </c>
      <c r="I27">
        <f>IF($F27=1,2,IF($H27=1,-2,IF($D27=1,1,-1)))</f>
        <v/>
      </c>
    </row>
    <row r="28">
      <c r="A28" t="n">
        <v>3</v>
      </c>
      <c r="B28" t="inlineStr">
        <is>
          <t>I</t>
        </is>
      </c>
      <c r="C28">
        <f>COUNTIFS(Scommesse!$A$2:$A$151,$A28,Scommesse!$C$2:$C$151,$B28)</f>
        <v/>
      </c>
      <c r="D28">
        <f>IF(SUMIFS(Scommesse!$Q$2:$Q$151,Scommesse!$A$2:$A$151,$A28,Scommesse!$C$2:$C$151,$B28)&gt;0,1,0)</f>
        <v/>
      </c>
      <c r="E28">
        <f>IFERROR(INDEX(Classifiche!$V$4:$V$15,MATCH($B28,Classifiche!$U$4:$U$15,0)),FALSE)</f>
        <v/>
      </c>
      <c r="F28">
        <f>IF(AND($D28=1,$E28),1,0)</f>
        <v/>
      </c>
      <c r="G28">
        <f>SUMIFS(Scommesse!$R$2:$R$151,Scommesse!$A$2:$A$151,$A28,Scommesse!$C$2:$C$151,$B28)</f>
        <v/>
      </c>
      <c r="H28">
        <f>IF(AND($C28&gt;0,$G28=$C28),1,0)</f>
        <v/>
      </c>
      <c r="I28">
        <f>IF($F28=1,2,IF($H28=1,-2,IF($D28=1,1,-1)))</f>
        <v/>
      </c>
    </row>
    <row r="29">
      <c r="A29" t="n">
        <v>3</v>
      </c>
      <c r="B29" t="inlineStr">
        <is>
          <t>J</t>
        </is>
      </c>
      <c r="C29">
        <f>COUNTIFS(Scommesse!$A$2:$A$151,$A29,Scommesse!$C$2:$C$151,$B29)</f>
        <v/>
      </c>
      <c r="D29">
        <f>IF(SUMIFS(Scommesse!$Q$2:$Q$151,Scommesse!$A$2:$A$151,$A29,Scommesse!$C$2:$C$151,$B29)&gt;0,1,0)</f>
        <v/>
      </c>
      <c r="E29">
        <f>IFERROR(INDEX(Classifiche!$V$4:$V$15,MATCH($B29,Classifiche!$U$4:$U$15,0)),FALSE)</f>
        <v/>
      </c>
      <c r="F29">
        <f>IF(AND($D29=1,$E29),1,0)</f>
        <v/>
      </c>
      <c r="G29">
        <f>SUMIFS(Scommesse!$R$2:$R$151,Scommesse!$A$2:$A$151,$A29,Scommesse!$C$2:$C$151,$B29)</f>
        <v/>
      </c>
      <c r="H29">
        <f>IF(AND($C29&gt;0,$G29=$C29),1,0)</f>
        <v/>
      </c>
      <c r="I29">
        <f>IF($F29=1,2,IF($H29=1,-2,IF($D29=1,1,-1)))</f>
        <v/>
      </c>
    </row>
    <row r="30">
      <c r="A30" t="n">
        <v>3</v>
      </c>
      <c r="B30" t="inlineStr">
        <is>
          <t>K</t>
        </is>
      </c>
      <c r="C30">
        <f>COUNTIFS(Scommesse!$A$2:$A$151,$A30,Scommesse!$C$2:$C$151,$B30)</f>
        <v/>
      </c>
      <c r="D30">
        <f>IF(SUMIFS(Scommesse!$Q$2:$Q$151,Scommesse!$A$2:$A$151,$A30,Scommesse!$C$2:$C$151,$B30)&gt;0,1,0)</f>
        <v/>
      </c>
      <c r="E30">
        <f>IFERROR(INDEX(Classifiche!$V$4:$V$15,MATCH($B30,Classifiche!$U$4:$U$15,0)),FALSE)</f>
        <v/>
      </c>
      <c r="F30">
        <f>IF(AND($D30=1,$E30),1,0)</f>
        <v/>
      </c>
      <c r="G30">
        <f>SUMIFS(Scommesse!$R$2:$R$151,Scommesse!$A$2:$A$151,$A30,Scommesse!$C$2:$C$151,$B30)</f>
        <v/>
      </c>
      <c r="H30">
        <f>IF(AND($C30&gt;0,$G30=$C30),1,0)</f>
        <v/>
      </c>
      <c r="I30">
        <f>IF($F30=1,2,IF($H30=1,-2,IF($D30=1,1,-1)))</f>
        <v/>
      </c>
    </row>
    <row r="31">
      <c r="A31" t="n">
        <v>3</v>
      </c>
      <c r="B31" t="inlineStr">
        <is>
          <t>L</t>
        </is>
      </c>
      <c r="C31">
        <f>COUNTIFS(Scommesse!$A$2:$A$151,$A31,Scommesse!$C$2:$C$151,$B31)</f>
        <v/>
      </c>
      <c r="D31">
        <f>IF(SUMIFS(Scommesse!$Q$2:$Q$151,Scommesse!$A$2:$A$151,$A31,Scommesse!$C$2:$C$151,$B31)&gt;0,1,0)</f>
        <v/>
      </c>
      <c r="E31">
        <f>IFERROR(INDEX(Classifiche!$V$4:$V$15,MATCH($B31,Classifiche!$U$4:$U$15,0)),FALSE)</f>
        <v/>
      </c>
      <c r="F31">
        <f>IF(AND($D31=1,$E31),1,0)</f>
        <v/>
      </c>
      <c r="G31">
        <f>SUMIFS(Scommesse!$R$2:$R$151,Scommesse!$A$2:$A$151,$A31,Scommesse!$C$2:$C$151,$B31)</f>
        <v/>
      </c>
      <c r="H31">
        <f>IF(AND($C31&gt;0,$G31=$C31),1,0)</f>
        <v/>
      </c>
      <c r="I31">
        <f>IF($F31=1,2,IF($H31=1,-2,IF($D31=1,1,-1)))</f>
        <v/>
      </c>
    </row>
    <row r="32">
      <c r="A32" t="n">
        <v>4</v>
      </c>
      <c r="B32" t="inlineStr">
        <is>
          <t>C</t>
        </is>
      </c>
      <c r="C32">
        <f>COUNTIFS(Scommesse!$A$2:$A$151,$A32,Scommesse!$C$2:$C$151,$B32)</f>
        <v/>
      </c>
      <c r="D32">
        <f>IF(SUMIFS(Scommesse!$Q$2:$Q$151,Scommesse!$A$2:$A$151,$A32,Scommesse!$C$2:$C$151,$B32)&gt;0,1,0)</f>
        <v/>
      </c>
      <c r="E32">
        <f>IFERROR(INDEX(Classifiche!$V$4:$V$15,MATCH($B32,Classifiche!$U$4:$U$15,0)),FALSE)</f>
        <v/>
      </c>
      <c r="F32">
        <f>IF(AND($D32=1,$E32),1,0)</f>
        <v/>
      </c>
      <c r="G32">
        <f>SUMIFS(Scommesse!$R$2:$R$151,Scommesse!$A$2:$A$151,$A32,Scommesse!$C$2:$C$151,$B32)</f>
        <v/>
      </c>
      <c r="H32">
        <f>IF(AND($C32&gt;0,$G32=$C32),1,0)</f>
        <v/>
      </c>
      <c r="I32">
        <f>IF($F32=1,2,IF($H32=1,-2,IF($D32=1,1,-1)))</f>
        <v/>
      </c>
    </row>
    <row r="33">
      <c r="A33" t="n">
        <v>4</v>
      </c>
      <c r="B33" t="inlineStr">
        <is>
          <t>D</t>
        </is>
      </c>
      <c r="C33">
        <f>COUNTIFS(Scommesse!$A$2:$A$151,$A33,Scommesse!$C$2:$C$151,$B33)</f>
        <v/>
      </c>
      <c r="D33">
        <f>IF(SUMIFS(Scommesse!$Q$2:$Q$151,Scommesse!$A$2:$A$151,$A33,Scommesse!$C$2:$C$151,$B33)&gt;0,1,0)</f>
        <v/>
      </c>
      <c r="E33">
        <f>IFERROR(INDEX(Classifiche!$V$4:$V$15,MATCH($B33,Classifiche!$U$4:$U$15,0)),FALSE)</f>
        <v/>
      </c>
      <c r="F33">
        <f>IF(AND($D33=1,$E33),1,0)</f>
        <v/>
      </c>
      <c r="G33">
        <f>SUMIFS(Scommesse!$R$2:$R$151,Scommesse!$A$2:$A$151,$A33,Scommesse!$C$2:$C$151,$B33)</f>
        <v/>
      </c>
      <c r="H33">
        <f>IF(AND($C33&gt;0,$G33=$C33),1,0)</f>
        <v/>
      </c>
      <c r="I33">
        <f>IF($F33=1,2,IF($H33=1,-2,IF($D33=1,1,-1)))</f>
        <v/>
      </c>
    </row>
    <row r="34">
      <c r="A34" t="n">
        <v>4</v>
      </c>
      <c r="B34" t="inlineStr">
        <is>
          <t>E</t>
        </is>
      </c>
      <c r="C34">
        <f>COUNTIFS(Scommesse!$A$2:$A$151,$A34,Scommesse!$C$2:$C$151,$B34)</f>
        <v/>
      </c>
      <c r="D34">
        <f>IF(SUMIFS(Scommesse!$Q$2:$Q$151,Scommesse!$A$2:$A$151,$A34,Scommesse!$C$2:$C$151,$B34)&gt;0,1,0)</f>
        <v/>
      </c>
      <c r="E34">
        <f>IFERROR(INDEX(Classifiche!$V$4:$V$15,MATCH($B34,Classifiche!$U$4:$U$15,0)),FALSE)</f>
        <v/>
      </c>
      <c r="F34">
        <f>IF(AND($D34=1,$E34),1,0)</f>
        <v/>
      </c>
      <c r="G34">
        <f>SUMIFS(Scommesse!$R$2:$R$151,Scommesse!$A$2:$A$151,$A34,Scommesse!$C$2:$C$151,$B34)</f>
        <v/>
      </c>
      <c r="H34">
        <f>IF(AND($C34&gt;0,$G34=$C34),1,0)</f>
        <v/>
      </c>
      <c r="I34">
        <f>IF($F34=1,2,IF($H34=1,-2,IF($D34=1,1,-1)))</f>
        <v/>
      </c>
    </row>
    <row r="35">
      <c r="A35" t="n">
        <v>4</v>
      </c>
      <c r="B35" t="inlineStr">
        <is>
          <t>F</t>
        </is>
      </c>
      <c r="C35">
        <f>COUNTIFS(Scommesse!$A$2:$A$151,$A35,Scommesse!$C$2:$C$151,$B35)</f>
        <v/>
      </c>
      <c r="D35">
        <f>IF(SUMIFS(Scommesse!$Q$2:$Q$151,Scommesse!$A$2:$A$151,$A35,Scommesse!$C$2:$C$151,$B35)&gt;0,1,0)</f>
        <v/>
      </c>
      <c r="E35">
        <f>IFERROR(INDEX(Classifiche!$V$4:$V$15,MATCH($B35,Classifiche!$U$4:$U$15,0)),FALSE)</f>
        <v/>
      </c>
      <c r="F35">
        <f>IF(AND($D35=1,$E35),1,0)</f>
        <v/>
      </c>
      <c r="G35">
        <f>SUMIFS(Scommesse!$R$2:$R$151,Scommesse!$A$2:$A$151,$A35,Scommesse!$C$2:$C$151,$B35)</f>
        <v/>
      </c>
      <c r="H35">
        <f>IF(AND($C35&gt;0,$G35=$C35),1,0)</f>
        <v/>
      </c>
      <c r="I35">
        <f>IF($F35=1,2,IF($H35=1,-2,IF($D35=1,1,-1)))</f>
        <v/>
      </c>
    </row>
    <row r="36">
      <c r="A36" t="n">
        <v>4</v>
      </c>
      <c r="B36" t="inlineStr">
        <is>
          <t>G</t>
        </is>
      </c>
      <c r="C36">
        <f>COUNTIFS(Scommesse!$A$2:$A$151,$A36,Scommesse!$C$2:$C$151,$B36)</f>
        <v/>
      </c>
      <c r="D36">
        <f>IF(SUMIFS(Scommesse!$Q$2:$Q$151,Scommesse!$A$2:$A$151,$A36,Scommesse!$C$2:$C$151,$B36)&gt;0,1,0)</f>
        <v/>
      </c>
      <c r="E36">
        <f>IFERROR(INDEX(Classifiche!$V$4:$V$15,MATCH($B36,Classifiche!$U$4:$U$15,0)),FALSE)</f>
        <v/>
      </c>
      <c r="F36">
        <f>IF(AND($D36=1,$E36),1,0)</f>
        <v/>
      </c>
      <c r="G36">
        <f>SUMIFS(Scommesse!$R$2:$R$151,Scommesse!$A$2:$A$151,$A36,Scommesse!$C$2:$C$151,$B36)</f>
        <v/>
      </c>
      <c r="H36">
        <f>IF(AND($C36&gt;0,$G36=$C36),1,0)</f>
        <v/>
      </c>
      <c r="I36">
        <f>IF($F36=1,2,IF($H36=1,-2,IF($D36=1,1,-1)))</f>
        <v/>
      </c>
    </row>
    <row r="37">
      <c r="A37" t="n">
        <v>4</v>
      </c>
      <c r="B37" t="inlineStr">
        <is>
          <t>H</t>
        </is>
      </c>
      <c r="C37">
        <f>COUNTIFS(Scommesse!$A$2:$A$151,$A37,Scommesse!$C$2:$C$151,$B37)</f>
        <v/>
      </c>
      <c r="D37">
        <f>IF(SUMIFS(Scommesse!$Q$2:$Q$151,Scommesse!$A$2:$A$151,$A37,Scommesse!$C$2:$C$151,$B37)&gt;0,1,0)</f>
        <v/>
      </c>
      <c r="E37">
        <f>IFERROR(INDEX(Classifiche!$V$4:$V$15,MATCH($B37,Classifiche!$U$4:$U$15,0)),FALSE)</f>
        <v/>
      </c>
      <c r="F37">
        <f>IF(AND($D37=1,$E37),1,0)</f>
        <v/>
      </c>
      <c r="G37">
        <f>SUMIFS(Scommesse!$R$2:$R$151,Scommesse!$A$2:$A$151,$A37,Scommesse!$C$2:$C$151,$B37)</f>
        <v/>
      </c>
      <c r="H37">
        <f>IF(AND($C37&gt;0,$G37=$C37),1,0)</f>
        <v/>
      </c>
      <c r="I37">
        <f>IF($F37=1,2,IF($H37=1,-2,IF($D37=1,1,-1)))</f>
        <v/>
      </c>
    </row>
    <row r="38">
      <c r="A38" t="n">
        <v>4</v>
      </c>
      <c r="B38" t="inlineStr">
        <is>
          <t>I</t>
        </is>
      </c>
      <c r="C38">
        <f>COUNTIFS(Scommesse!$A$2:$A$151,$A38,Scommesse!$C$2:$C$151,$B38)</f>
        <v/>
      </c>
      <c r="D38">
        <f>IF(SUMIFS(Scommesse!$Q$2:$Q$151,Scommesse!$A$2:$A$151,$A38,Scommesse!$C$2:$C$151,$B38)&gt;0,1,0)</f>
        <v/>
      </c>
      <c r="E38">
        <f>IFERROR(INDEX(Classifiche!$V$4:$V$15,MATCH($B38,Classifiche!$U$4:$U$15,0)),FALSE)</f>
        <v/>
      </c>
      <c r="F38">
        <f>IF(AND($D38=1,$E38),1,0)</f>
        <v/>
      </c>
      <c r="G38">
        <f>SUMIFS(Scommesse!$R$2:$R$151,Scommesse!$A$2:$A$151,$A38,Scommesse!$C$2:$C$151,$B38)</f>
        <v/>
      </c>
      <c r="H38">
        <f>IF(AND($C38&gt;0,$G38=$C38),1,0)</f>
        <v/>
      </c>
      <c r="I38">
        <f>IF($F38=1,2,IF($H38=1,-2,IF($D38=1,1,-1)))</f>
        <v/>
      </c>
    </row>
    <row r="39">
      <c r="A39" t="n">
        <v>4</v>
      </c>
      <c r="B39" t="inlineStr">
        <is>
          <t>J</t>
        </is>
      </c>
      <c r="C39">
        <f>COUNTIFS(Scommesse!$A$2:$A$151,$A39,Scommesse!$C$2:$C$151,$B39)</f>
        <v/>
      </c>
      <c r="D39">
        <f>IF(SUMIFS(Scommesse!$Q$2:$Q$151,Scommesse!$A$2:$A$151,$A39,Scommesse!$C$2:$C$151,$B39)&gt;0,1,0)</f>
        <v/>
      </c>
      <c r="E39">
        <f>IFERROR(INDEX(Classifiche!$V$4:$V$15,MATCH($B39,Classifiche!$U$4:$U$15,0)),FALSE)</f>
        <v/>
      </c>
      <c r="F39">
        <f>IF(AND($D39=1,$E39),1,0)</f>
        <v/>
      </c>
      <c r="G39">
        <f>SUMIFS(Scommesse!$R$2:$R$151,Scommesse!$A$2:$A$151,$A39,Scommesse!$C$2:$C$151,$B39)</f>
        <v/>
      </c>
      <c r="H39">
        <f>IF(AND($C39&gt;0,$G39=$C39),1,0)</f>
        <v/>
      </c>
      <c r="I39">
        <f>IF($F39=1,2,IF($H39=1,-2,IF($D39=1,1,-1)))</f>
        <v/>
      </c>
    </row>
    <row r="40">
      <c r="A40" t="n">
        <v>4</v>
      </c>
      <c r="B40" t="inlineStr">
        <is>
          <t>K</t>
        </is>
      </c>
      <c r="C40">
        <f>COUNTIFS(Scommesse!$A$2:$A$151,$A40,Scommesse!$C$2:$C$151,$B40)</f>
        <v/>
      </c>
      <c r="D40">
        <f>IF(SUMIFS(Scommesse!$Q$2:$Q$151,Scommesse!$A$2:$A$151,$A40,Scommesse!$C$2:$C$151,$B40)&gt;0,1,0)</f>
        <v/>
      </c>
      <c r="E40">
        <f>IFERROR(INDEX(Classifiche!$V$4:$V$15,MATCH($B40,Classifiche!$U$4:$U$15,0)),FALSE)</f>
        <v/>
      </c>
      <c r="F40">
        <f>IF(AND($D40=1,$E40),1,0)</f>
        <v/>
      </c>
      <c r="G40">
        <f>SUMIFS(Scommesse!$R$2:$R$151,Scommesse!$A$2:$A$151,$A40,Scommesse!$C$2:$C$151,$B40)</f>
        <v/>
      </c>
      <c r="H40">
        <f>IF(AND($C40&gt;0,$G40=$C40),1,0)</f>
        <v/>
      </c>
      <c r="I40">
        <f>IF($F40=1,2,IF($H40=1,-2,IF($D40=1,1,-1)))</f>
        <v/>
      </c>
    </row>
    <row r="41">
      <c r="A41" t="n">
        <v>4</v>
      </c>
      <c r="B41" t="inlineStr">
        <is>
          <t>L</t>
        </is>
      </c>
      <c r="C41">
        <f>COUNTIFS(Scommesse!$A$2:$A$151,$A41,Scommesse!$C$2:$C$151,$B41)</f>
        <v/>
      </c>
      <c r="D41">
        <f>IF(SUMIFS(Scommesse!$Q$2:$Q$151,Scommesse!$A$2:$A$151,$A41,Scommesse!$C$2:$C$151,$B41)&gt;0,1,0)</f>
        <v/>
      </c>
      <c r="E41">
        <f>IFERROR(INDEX(Classifiche!$V$4:$V$15,MATCH($B41,Classifiche!$U$4:$U$15,0)),FALSE)</f>
        <v/>
      </c>
      <c r="F41">
        <f>IF(AND($D41=1,$E41),1,0)</f>
        <v/>
      </c>
      <c r="G41">
        <f>SUMIFS(Scommesse!$R$2:$R$151,Scommesse!$A$2:$A$151,$A41,Scommesse!$C$2:$C$151,$B41)</f>
        <v/>
      </c>
      <c r="H41">
        <f>IF(AND($C41&gt;0,$G41=$C41),1,0)</f>
        <v/>
      </c>
      <c r="I41">
        <f>IF($F41=1,2,IF($H41=1,-2,IF($D41=1,1,-1)))</f>
        <v/>
      </c>
    </row>
    <row r="42">
      <c r="A42" t="n">
        <v>5</v>
      </c>
      <c r="B42" t="inlineStr">
        <is>
          <t>C</t>
        </is>
      </c>
      <c r="C42">
        <f>COUNTIFS(Scommesse!$A$2:$A$151,$A42,Scommesse!$C$2:$C$151,$B42)</f>
        <v/>
      </c>
      <c r="D42">
        <f>IF(SUMIFS(Scommesse!$Q$2:$Q$151,Scommesse!$A$2:$A$151,$A42,Scommesse!$C$2:$C$151,$B42)&gt;0,1,0)</f>
        <v/>
      </c>
      <c r="E42">
        <f>IFERROR(INDEX(Classifiche!$V$4:$V$15,MATCH($B42,Classifiche!$U$4:$U$15,0)),FALSE)</f>
        <v/>
      </c>
      <c r="F42">
        <f>IF(AND($D42=1,$E42),1,0)</f>
        <v/>
      </c>
      <c r="G42">
        <f>SUMIFS(Scommesse!$R$2:$R$151,Scommesse!$A$2:$A$151,$A42,Scommesse!$C$2:$C$151,$B42)</f>
        <v/>
      </c>
      <c r="H42">
        <f>IF(AND($C42&gt;0,$G42=$C42),1,0)</f>
        <v/>
      </c>
      <c r="I42">
        <f>IF($F42=1,2,IF($H42=1,-2,IF($D42=1,1,-1)))</f>
        <v/>
      </c>
    </row>
    <row r="43">
      <c r="A43" t="n">
        <v>5</v>
      </c>
      <c r="B43" t="inlineStr">
        <is>
          <t>D</t>
        </is>
      </c>
      <c r="C43">
        <f>COUNTIFS(Scommesse!$A$2:$A$151,$A43,Scommesse!$C$2:$C$151,$B43)</f>
        <v/>
      </c>
      <c r="D43">
        <f>IF(SUMIFS(Scommesse!$Q$2:$Q$151,Scommesse!$A$2:$A$151,$A43,Scommesse!$C$2:$C$151,$B43)&gt;0,1,0)</f>
        <v/>
      </c>
      <c r="E43">
        <f>IFERROR(INDEX(Classifiche!$V$4:$V$15,MATCH($B43,Classifiche!$U$4:$U$15,0)),FALSE)</f>
        <v/>
      </c>
      <c r="F43">
        <f>IF(AND($D43=1,$E43),1,0)</f>
        <v/>
      </c>
      <c r="G43">
        <f>SUMIFS(Scommesse!$R$2:$R$151,Scommesse!$A$2:$A$151,$A43,Scommesse!$C$2:$C$151,$B43)</f>
        <v/>
      </c>
      <c r="H43">
        <f>IF(AND($C43&gt;0,$G43=$C43),1,0)</f>
        <v/>
      </c>
      <c r="I43">
        <f>IF($F43=1,2,IF($H43=1,-2,IF($D43=1,1,-1)))</f>
        <v/>
      </c>
    </row>
    <row r="44">
      <c r="A44" t="n">
        <v>5</v>
      </c>
      <c r="B44" t="inlineStr">
        <is>
          <t>E</t>
        </is>
      </c>
      <c r="C44">
        <f>COUNTIFS(Scommesse!$A$2:$A$151,$A44,Scommesse!$C$2:$C$151,$B44)</f>
        <v/>
      </c>
      <c r="D44">
        <f>IF(SUMIFS(Scommesse!$Q$2:$Q$151,Scommesse!$A$2:$A$151,$A44,Scommesse!$C$2:$C$151,$B44)&gt;0,1,0)</f>
        <v/>
      </c>
      <c r="E44">
        <f>IFERROR(INDEX(Classifiche!$V$4:$V$15,MATCH($B44,Classifiche!$U$4:$U$15,0)),FALSE)</f>
        <v/>
      </c>
      <c r="F44">
        <f>IF(AND($D44=1,$E44),1,0)</f>
        <v/>
      </c>
      <c r="G44">
        <f>SUMIFS(Scommesse!$R$2:$R$151,Scommesse!$A$2:$A$151,$A44,Scommesse!$C$2:$C$151,$B44)</f>
        <v/>
      </c>
      <c r="H44">
        <f>IF(AND($C44&gt;0,$G44=$C44),1,0)</f>
        <v/>
      </c>
      <c r="I44">
        <f>IF($F44=1,2,IF($H44=1,-2,IF($D44=1,1,-1)))</f>
        <v/>
      </c>
    </row>
    <row r="45">
      <c r="A45" t="n">
        <v>5</v>
      </c>
      <c r="B45" t="inlineStr">
        <is>
          <t>F</t>
        </is>
      </c>
      <c r="C45">
        <f>COUNTIFS(Scommesse!$A$2:$A$151,$A45,Scommesse!$C$2:$C$151,$B45)</f>
        <v/>
      </c>
      <c r="D45">
        <f>IF(SUMIFS(Scommesse!$Q$2:$Q$151,Scommesse!$A$2:$A$151,$A45,Scommesse!$C$2:$C$151,$B45)&gt;0,1,0)</f>
        <v/>
      </c>
      <c r="E45">
        <f>IFERROR(INDEX(Classifiche!$V$4:$V$15,MATCH($B45,Classifiche!$U$4:$U$15,0)),FALSE)</f>
        <v/>
      </c>
      <c r="F45">
        <f>IF(AND($D45=1,$E45),1,0)</f>
        <v/>
      </c>
      <c r="G45">
        <f>SUMIFS(Scommesse!$R$2:$R$151,Scommesse!$A$2:$A$151,$A45,Scommesse!$C$2:$C$151,$B45)</f>
        <v/>
      </c>
      <c r="H45">
        <f>IF(AND($C45&gt;0,$G45=$C45),1,0)</f>
        <v/>
      </c>
      <c r="I45">
        <f>IF($F45=1,2,IF($H45=1,-2,IF($D45=1,1,-1)))</f>
        <v/>
      </c>
    </row>
    <row r="46">
      <c r="A46" t="n">
        <v>5</v>
      </c>
      <c r="B46" t="inlineStr">
        <is>
          <t>G</t>
        </is>
      </c>
      <c r="C46">
        <f>COUNTIFS(Scommesse!$A$2:$A$151,$A46,Scommesse!$C$2:$C$151,$B46)</f>
        <v/>
      </c>
      <c r="D46">
        <f>IF(SUMIFS(Scommesse!$Q$2:$Q$151,Scommesse!$A$2:$A$151,$A46,Scommesse!$C$2:$C$151,$B46)&gt;0,1,0)</f>
        <v/>
      </c>
      <c r="E46">
        <f>IFERROR(INDEX(Classifiche!$V$4:$V$15,MATCH($B46,Classifiche!$U$4:$U$15,0)),FALSE)</f>
        <v/>
      </c>
      <c r="F46">
        <f>IF(AND($D46=1,$E46),1,0)</f>
        <v/>
      </c>
      <c r="G46">
        <f>SUMIFS(Scommesse!$R$2:$R$151,Scommesse!$A$2:$A$151,$A46,Scommesse!$C$2:$C$151,$B46)</f>
        <v/>
      </c>
      <c r="H46">
        <f>IF(AND($C46&gt;0,$G46=$C46),1,0)</f>
        <v/>
      </c>
      <c r="I46">
        <f>IF($F46=1,2,IF($H46=1,-2,IF($D46=1,1,-1)))</f>
        <v/>
      </c>
    </row>
    <row r="47">
      <c r="A47" t="n">
        <v>5</v>
      </c>
      <c r="B47" t="inlineStr">
        <is>
          <t>H</t>
        </is>
      </c>
      <c r="C47">
        <f>COUNTIFS(Scommesse!$A$2:$A$151,$A47,Scommesse!$C$2:$C$151,$B47)</f>
        <v/>
      </c>
      <c r="D47">
        <f>IF(SUMIFS(Scommesse!$Q$2:$Q$151,Scommesse!$A$2:$A$151,$A47,Scommesse!$C$2:$C$151,$B47)&gt;0,1,0)</f>
        <v/>
      </c>
      <c r="E47">
        <f>IFERROR(INDEX(Classifiche!$V$4:$V$15,MATCH($B47,Classifiche!$U$4:$U$15,0)),FALSE)</f>
        <v/>
      </c>
      <c r="F47">
        <f>IF(AND($D47=1,$E47),1,0)</f>
        <v/>
      </c>
      <c r="G47">
        <f>SUMIFS(Scommesse!$R$2:$R$151,Scommesse!$A$2:$A$151,$A47,Scommesse!$C$2:$C$151,$B47)</f>
        <v/>
      </c>
      <c r="H47">
        <f>IF(AND($C47&gt;0,$G47=$C47),1,0)</f>
        <v/>
      </c>
      <c r="I47">
        <f>IF($F47=1,2,IF($H47=1,-2,IF($D47=1,1,-1)))</f>
        <v/>
      </c>
    </row>
    <row r="48">
      <c r="A48" t="n">
        <v>5</v>
      </c>
      <c r="B48" t="inlineStr">
        <is>
          <t>I</t>
        </is>
      </c>
      <c r="C48">
        <f>COUNTIFS(Scommesse!$A$2:$A$151,$A48,Scommesse!$C$2:$C$151,$B48)</f>
        <v/>
      </c>
      <c r="D48">
        <f>IF(SUMIFS(Scommesse!$Q$2:$Q$151,Scommesse!$A$2:$A$151,$A48,Scommesse!$C$2:$C$151,$B48)&gt;0,1,0)</f>
        <v/>
      </c>
      <c r="E48">
        <f>IFERROR(INDEX(Classifiche!$V$4:$V$15,MATCH($B48,Classifiche!$U$4:$U$15,0)),FALSE)</f>
        <v/>
      </c>
      <c r="F48">
        <f>IF(AND($D48=1,$E48),1,0)</f>
        <v/>
      </c>
      <c r="G48">
        <f>SUMIFS(Scommesse!$R$2:$R$151,Scommesse!$A$2:$A$151,$A48,Scommesse!$C$2:$C$151,$B48)</f>
        <v/>
      </c>
      <c r="H48">
        <f>IF(AND($C48&gt;0,$G48=$C48),1,0)</f>
        <v/>
      </c>
      <c r="I48">
        <f>IF($F48=1,2,IF($H48=1,-2,IF($D48=1,1,-1)))</f>
        <v/>
      </c>
    </row>
    <row r="49">
      <c r="A49" t="n">
        <v>5</v>
      </c>
      <c r="B49" t="inlineStr">
        <is>
          <t>J</t>
        </is>
      </c>
      <c r="C49">
        <f>COUNTIFS(Scommesse!$A$2:$A$151,$A49,Scommesse!$C$2:$C$151,$B49)</f>
        <v/>
      </c>
      <c r="D49">
        <f>IF(SUMIFS(Scommesse!$Q$2:$Q$151,Scommesse!$A$2:$A$151,$A49,Scommesse!$C$2:$C$151,$B49)&gt;0,1,0)</f>
        <v/>
      </c>
      <c r="E49">
        <f>IFERROR(INDEX(Classifiche!$V$4:$V$15,MATCH($B49,Classifiche!$U$4:$U$15,0)),FALSE)</f>
        <v/>
      </c>
      <c r="F49">
        <f>IF(AND($D49=1,$E49),1,0)</f>
        <v/>
      </c>
      <c r="G49">
        <f>SUMIFS(Scommesse!$R$2:$R$151,Scommesse!$A$2:$A$151,$A49,Scommesse!$C$2:$C$151,$B49)</f>
        <v/>
      </c>
      <c r="H49">
        <f>IF(AND($C49&gt;0,$G49=$C49),1,0)</f>
        <v/>
      </c>
      <c r="I49">
        <f>IF($F49=1,2,IF($H49=1,-2,IF($D49=1,1,-1)))</f>
        <v/>
      </c>
    </row>
    <row r="50">
      <c r="A50" t="n">
        <v>5</v>
      </c>
      <c r="B50" t="inlineStr">
        <is>
          <t>K</t>
        </is>
      </c>
      <c r="C50">
        <f>COUNTIFS(Scommesse!$A$2:$A$151,$A50,Scommesse!$C$2:$C$151,$B50)</f>
        <v/>
      </c>
      <c r="D50">
        <f>IF(SUMIFS(Scommesse!$Q$2:$Q$151,Scommesse!$A$2:$A$151,$A50,Scommesse!$C$2:$C$151,$B50)&gt;0,1,0)</f>
        <v/>
      </c>
      <c r="E50">
        <f>IFERROR(INDEX(Classifiche!$V$4:$V$15,MATCH($B50,Classifiche!$U$4:$U$15,0)),FALSE)</f>
        <v/>
      </c>
      <c r="F50">
        <f>IF(AND($D50=1,$E50),1,0)</f>
        <v/>
      </c>
      <c r="G50">
        <f>SUMIFS(Scommesse!$R$2:$R$151,Scommesse!$A$2:$A$151,$A50,Scommesse!$C$2:$C$151,$B50)</f>
        <v/>
      </c>
      <c r="H50">
        <f>IF(AND($C50&gt;0,$G50=$C50),1,0)</f>
        <v/>
      </c>
      <c r="I50">
        <f>IF($F50=1,2,IF($H50=1,-2,IF($D50=1,1,-1)))</f>
        <v/>
      </c>
    </row>
    <row r="51">
      <c r="A51" t="n">
        <v>5</v>
      </c>
      <c r="B51" t="inlineStr">
        <is>
          <t>L</t>
        </is>
      </c>
      <c r="C51">
        <f>COUNTIFS(Scommesse!$A$2:$A$151,$A51,Scommesse!$C$2:$C$151,$B51)</f>
        <v/>
      </c>
      <c r="D51">
        <f>IF(SUMIFS(Scommesse!$Q$2:$Q$151,Scommesse!$A$2:$A$151,$A51,Scommesse!$C$2:$C$151,$B51)&gt;0,1,0)</f>
        <v/>
      </c>
      <c r="E51">
        <f>IFERROR(INDEX(Classifiche!$V$4:$V$15,MATCH($B51,Classifiche!$U$4:$U$15,0)),FALSE)</f>
        <v/>
      </c>
      <c r="F51">
        <f>IF(AND($D51=1,$E51),1,0)</f>
        <v/>
      </c>
      <c r="G51">
        <f>SUMIFS(Scommesse!$R$2:$R$151,Scommesse!$A$2:$A$151,$A51,Scommesse!$C$2:$C$151,$B51)</f>
        <v/>
      </c>
      <c r="H51">
        <f>IF(AND($C51&gt;0,$G51=$C51),1,0)</f>
        <v/>
      </c>
      <c r="I51">
        <f>IF($F51=1,2,IF($H51=1,-2,IF($D51=1,1,-1)))</f>
        <v/>
      </c>
    </row>
    <row r="52">
      <c r="A52" t="n">
        <v>6</v>
      </c>
      <c r="B52" t="inlineStr">
        <is>
          <t>C</t>
        </is>
      </c>
      <c r="C52">
        <f>COUNTIFS(Scommesse!$A$2:$A$151,$A52,Scommesse!$C$2:$C$151,$B52)</f>
        <v/>
      </c>
      <c r="D52">
        <f>IF(SUMIFS(Scommesse!$Q$2:$Q$151,Scommesse!$A$2:$A$151,$A52,Scommesse!$C$2:$C$151,$B52)&gt;0,1,0)</f>
        <v/>
      </c>
      <c r="E52">
        <f>IFERROR(INDEX(Classifiche!$V$4:$V$15,MATCH($B52,Classifiche!$U$4:$U$15,0)),FALSE)</f>
        <v/>
      </c>
      <c r="F52">
        <f>IF(AND($D52=1,$E52),1,0)</f>
        <v/>
      </c>
      <c r="G52">
        <f>SUMIFS(Scommesse!$R$2:$R$151,Scommesse!$A$2:$A$151,$A52,Scommesse!$C$2:$C$151,$B52)</f>
        <v/>
      </c>
      <c r="H52">
        <f>IF(AND($C52&gt;0,$G52=$C52),1,0)</f>
        <v/>
      </c>
      <c r="I52">
        <f>IF($F52=1,2,IF($H52=1,-2,IF($D52=1,1,-1)))</f>
        <v/>
      </c>
    </row>
    <row r="53">
      <c r="A53" t="n">
        <v>6</v>
      </c>
      <c r="B53" t="inlineStr">
        <is>
          <t>D</t>
        </is>
      </c>
      <c r="C53">
        <f>COUNTIFS(Scommesse!$A$2:$A$151,$A53,Scommesse!$C$2:$C$151,$B53)</f>
        <v/>
      </c>
      <c r="D53">
        <f>IF(SUMIFS(Scommesse!$Q$2:$Q$151,Scommesse!$A$2:$A$151,$A53,Scommesse!$C$2:$C$151,$B53)&gt;0,1,0)</f>
        <v/>
      </c>
      <c r="E53">
        <f>IFERROR(INDEX(Classifiche!$V$4:$V$15,MATCH($B53,Classifiche!$U$4:$U$15,0)),FALSE)</f>
        <v/>
      </c>
      <c r="F53">
        <f>IF(AND($D53=1,$E53),1,0)</f>
        <v/>
      </c>
      <c r="G53">
        <f>SUMIFS(Scommesse!$R$2:$R$151,Scommesse!$A$2:$A$151,$A53,Scommesse!$C$2:$C$151,$B53)</f>
        <v/>
      </c>
      <c r="H53">
        <f>IF(AND($C53&gt;0,$G53=$C53),1,0)</f>
        <v/>
      </c>
      <c r="I53">
        <f>IF($F53=1,2,IF($H53=1,-2,IF($D53=1,1,-1)))</f>
        <v/>
      </c>
    </row>
    <row r="54">
      <c r="A54" t="n">
        <v>6</v>
      </c>
      <c r="B54" t="inlineStr">
        <is>
          <t>E</t>
        </is>
      </c>
      <c r="C54">
        <f>COUNTIFS(Scommesse!$A$2:$A$151,$A54,Scommesse!$C$2:$C$151,$B54)</f>
        <v/>
      </c>
      <c r="D54">
        <f>IF(SUMIFS(Scommesse!$Q$2:$Q$151,Scommesse!$A$2:$A$151,$A54,Scommesse!$C$2:$C$151,$B54)&gt;0,1,0)</f>
        <v/>
      </c>
      <c r="E54">
        <f>IFERROR(INDEX(Classifiche!$V$4:$V$15,MATCH($B54,Classifiche!$U$4:$U$15,0)),FALSE)</f>
        <v/>
      </c>
      <c r="F54">
        <f>IF(AND($D54=1,$E54),1,0)</f>
        <v/>
      </c>
      <c r="G54">
        <f>SUMIFS(Scommesse!$R$2:$R$151,Scommesse!$A$2:$A$151,$A54,Scommesse!$C$2:$C$151,$B54)</f>
        <v/>
      </c>
      <c r="H54">
        <f>IF(AND($C54&gt;0,$G54=$C54),1,0)</f>
        <v/>
      </c>
      <c r="I54">
        <f>IF($F54=1,2,IF($H54=1,-2,IF($D54=1,1,-1)))</f>
        <v/>
      </c>
    </row>
    <row r="55">
      <c r="A55" t="n">
        <v>6</v>
      </c>
      <c r="B55" t="inlineStr">
        <is>
          <t>F</t>
        </is>
      </c>
      <c r="C55">
        <f>COUNTIFS(Scommesse!$A$2:$A$151,$A55,Scommesse!$C$2:$C$151,$B55)</f>
        <v/>
      </c>
      <c r="D55">
        <f>IF(SUMIFS(Scommesse!$Q$2:$Q$151,Scommesse!$A$2:$A$151,$A55,Scommesse!$C$2:$C$151,$B55)&gt;0,1,0)</f>
        <v/>
      </c>
      <c r="E55">
        <f>IFERROR(INDEX(Classifiche!$V$4:$V$15,MATCH($B55,Classifiche!$U$4:$U$15,0)),FALSE)</f>
        <v/>
      </c>
      <c r="F55">
        <f>IF(AND($D55=1,$E55),1,0)</f>
        <v/>
      </c>
      <c r="G55">
        <f>SUMIFS(Scommesse!$R$2:$R$151,Scommesse!$A$2:$A$151,$A55,Scommesse!$C$2:$C$151,$B55)</f>
        <v/>
      </c>
      <c r="H55">
        <f>IF(AND($C55&gt;0,$G55=$C55),1,0)</f>
        <v/>
      </c>
      <c r="I55">
        <f>IF($F55=1,2,IF($H55=1,-2,IF($D55=1,1,-1)))</f>
        <v/>
      </c>
    </row>
    <row r="56">
      <c r="A56" t="n">
        <v>6</v>
      </c>
      <c r="B56" t="inlineStr">
        <is>
          <t>G</t>
        </is>
      </c>
      <c r="C56">
        <f>COUNTIFS(Scommesse!$A$2:$A$151,$A56,Scommesse!$C$2:$C$151,$B56)</f>
        <v/>
      </c>
      <c r="D56">
        <f>IF(SUMIFS(Scommesse!$Q$2:$Q$151,Scommesse!$A$2:$A$151,$A56,Scommesse!$C$2:$C$151,$B56)&gt;0,1,0)</f>
        <v/>
      </c>
      <c r="E56">
        <f>IFERROR(INDEX(Classifiche!$V$4:$V$15,MATCH($B56,Classifiche!$U$4:$U$15,0)),FALSE)</f>
        <v/>
      </c>
      <c r="F56">
        <f>IF(AND($D56=1,$E56),1,0)</f>
        <v/>
      </c>
      <c r="G56">
        <f>SUMIFS(Scommesse!$R$2:$R$151,Scommesse!$A$2:$A$151,$A56,Scommesse!$C$2:$C$151,$B56)</f>
        <v/>
      </c>
      <c r="H56">
        <f>IF(AND($C56&gt;0,$G56=$C56),1,0)</f>
        <v/>
      </c>
      <c r="I56">
        <f>IF($F56=1,2,IF($H56=1,-2,IF($D56=1,1,-1)))</f>
        <v/>
      </c>
    </row>
    <row r="57">
      <c r="A57" t="n">
        <v>6</v>
      </c>
      <c r="B57" t="inlineStr">
        <is>
          <t>H</t>
        </is>
      </c>
      <c r="C57">
        <f>COUNTIFS(Scommesse!$A$2:$A$151,$A57,Scommesse!$C$2:$C$151,$B57)</f>
        <v/>
      </c>
      <c r="D57">
        <f>IF(SUMIFS(Scommesse!$Q$2:$Q$151,Scommesse!$A$2:$A$151,$A57,Scommesse!$C$2:$C$151,$B57)&gt;0,1,0)</f>
        <v/>
      </c>
      <c r="E57">
        <f>IFERROR(INDEX(Classifiche!$V$4:$V$15,MATCH($B57,Classifiche!$U$4:$U$15,0)),FALSE)</f>
        <v/>
      </c>
      <c r="F57">
        <f>IF(AND($D57=1,$E57),1,0)</f>
        <v/>
      </c>
      <c r="G57">
        <f>SUMIFS(Scommesse!$R$2:$R$151,Scommesse!$A$2:$A$151,$A57,Scommesse!$C$2:$C$151,$B57)</f>
        <v/>
      </c>
      <c r="H57">
        <f>IF(AND($C57&gt;0,$G57=$C57),1,0)</f>
        <v/>
      </c>
      <c r="I57">
        <f>IF($F57=1,2,IF($H57=1,-2,IF($D57=1,1,-1)))</f>
        <v/>
      </c>
    </row>
    <row r="58">
      <c r="A58" t="n">
        <v>6</v>
      </c>
      <c r="B58" t="inlineStr">
        <is>
          <t>I</t>
        </is>
      </c>
      <c r="C58">
        <f>COUNTIFS(Scommesse!$A$2:$A$151,$A58,Scommesse!$C$2:$C$151,$B58)</f>
        <v/>
      </c>
      <c r="D58">
        <f>IF(SUMIFS(Scommesse!$Q$2:$Q$151,Scommesse!$A$2:$A$151,$A58,Scommesse!$C$2:$C$151,$B58)&gt;0,1,0)</f>
        <v/>
      </c>
      <c r="E58">
        <f>IFERROR(INDEX(Classifiche!$V$4:$V$15,MATCH($B58,Classifiche!$U$4:$U$15,0)),FALSE)</f>
        <v/>
      </c>
      <c r="F58">
        <f>IF(AND($D58=1,$E58),1,0)</f>
        <v/>
      </c>
      <c r="G58">
        <f>SUMIFS(Scommesse!$R$2:$R$151,Scommesse!$A$2:$A$151,$A58,Scommesse!$C$2:$C$151,$B58)</f>
        <v/>
      </c>
      <c r="H58">
        <f>IF(AND($C58&gt;0,$G58=$C58),1,0)</f>
        <v/>
      </c>
      <c r="I58">
        <f>IF($F58=1,2,IF($H58=1,-2,IF($D58=1,1,-1)))</f>
        <v/>
      </c>
    </row>
    <row r="59">
      <c r="A59" t="n">
        <v>6</v>
      </c>
      <c r="B59" t="inlineStr">
        <is>
          <t>J</t>
        </is>
      </c>
      <c r="C59">
        <f>COUNTIFS(Scommesse!$A$2:$A$151,$A59,Scommesse!$C$2:$C$151,$B59)</f>
        <v/>
      </c>
      <c r="D59">
        <f>IF(SUMIFS(Scommesse!$Q$2:$Q$151,Scommesse!$A$2:$A$151,$A59,Scommesse!$C$2:$C$151,$B59)&gt;0,1,0)</f>
        <v/>
      </c>
      <c r="E59">
        <f>IFERROR(INDEX(Classifiche!$V$4:$V$15,MATCH($B59,Classifiche!$U$4:$U$15,0)),FALSE)</f>
        <v/>
      </c>
      <c r="F59">
        <f>IF(AND($D59=1,$E59),1,0)</f>
        <v/>
      </c>
      <c r="G59">
        <f>SUMIFS(Scommesse!$R$2:$R$151,Scommesse!$A$2:$A$151,$A59,Scommesse!$C$2:$C$151,$B59)</f>
        <v/>
      </c>
      <c r="H59">
        <f>IF(AND($C59&gt;0,$G59=$C59),1,0)</f>
        <v/>
      </c>
      <c r="I59">
        <f>IF($F59=1,2,IF($H59=1,-2,IF($D59=1,1,-1)))</f>
        <v/>
      </c>
    </row>
    <row r="60">
      <c r="A60" t="n">
        <v>6</v>
      </c>
      <c r="B60" t="inlineStr">
        <is>
          <t>K</t>
        </is>
      </c>
      <c r="C60">
        <f>COUNTIFS(Scommesse!$A$2:$A$151,$A60,Scommesse!$C$2:$C$151,$B60)</f>
        <v/>
      </c>
      <c r="D60">
        <f>IF(SUMIFS(Scommesse!$Q$2:$Q$151,Scommesse!$A$2:$A$151,$A60,Scommesse!$C$2:$C$151,$B60)&gt;0,1,0)</f>
        <v/>
      </c>
      <c r="E60">
        <f>IFERROR(INDEX(Classifiche!$V$4:$V$15,MATCH($B60,Classifiche!$U$4:$U$15,0)),FALSE)</f>
        <v/>
      </c>
      <c r="F60">
        <f>IF(AND($D60=1,$E60),1,0)</f>
        <v/>
      </c>
      <c r="G60">
        <f>SUMIFS(Scommesse!$R$2:$R$151,Scommesse!$A$2:$A$151,$A60,Scommesse!$C$2:$C$151,$B60)</f>
        <v/>
      </c>
      <c r="H60">
        <f>IF(AND($C60&gt;0,$G60=$C60),1,0)</f>
        <v/>
      </c>
      <c r="I60">
        <f>IF($F60=1,2,IF($H60=1,-2,IF($D60=1,1,-1)))</f>
        <v/>
      </c>
    </row>
    <row r="61">
      <c r="A61" t="n">
        <v>6</v>
      </c>
      <c r="B61" t="inlineStr">
        <is>
          <t>L</t>
        </is>
      </c>
      <c r="C61">
        <f>COUNTIFS(Scommesse!$A$2:$A$151,$A61,Scommesse!$C$2:$C$151,$B61)</f>
        <v/>
      </c>
      <c r="D61">
        <f>IF(SUMIFS(Scommesse!$Q$2:$Q$151,Scommesse!$A$2:$A$151,$A61,Scommesse!$C$2:$C$151,$B61)&gt;0,1,0)</f>
        <v/>
      </c>
      <c r="E61">
        <f>IFERROR(INDEX(Classifiche!$V$4:$V$15,MATCH($B61,Classifiche!$U$4:$U$15,0)),FALSE)</f>
        <v/>
      </c>
      <c r="F61">
        <f>IF(AND($D61=1,$E61),1,0)</f>
        <v/>
      </c>
      <c r="G61">
        <f>SUMIFS(Scommesse!$R$2:$R$151,Scommesse!$A$2:$A$151,$A61,Scommesse!$C$2:$C$151,$B61)</f>
        <v/>
      </c>
      <c r="H61">
        <f>IF(AND($C61&gt;0,$G61=$C61),1,0)</f>
        <v/>
      </c>
      <c r="I61">
        <f>IF($F61=1,2,IF($H61=1,-2,IF($D61=1,1,-1)))</f>
        <v/>
      </c>
    </row>
    <row r="62">
      <c r="A62" t="n">
        <v>7</v>
      </c>
      <c r="B62" t="inlineStr">
        <is>
          <t>C</t>
        </is>
      </c>
      <c r="C62">
        <f>COUNTIFS(Scommesse!$A$2:$A$151,$A62,Scommesse!$C$2:$C$151,$B62)</f>
        <v/>
      </c>
      <c r="D62">
        <f>IF(SUMIFS(Scommesse!$Q$2:$Q$151,Scommesse!$A$2:$A$151,$A62,Scommesse!$C$2:$C$151,$B62)&gt;0,1,0)</f>
        <v/>
      </c>
      <c r="E62">
        <f>IFERROR(INDEX(Classifiche!$V$4:$V$15,MATCH($B62,Classifiche!$U$4:$U$15,0)),FALSE)</f>
        <v/>
      </c>
      <c r="F62">
        <f>IF(AND($D62=1,$E62),1,0)</f>
        <v/>
      </c>
      <c r="G62">
        <f>SUMIFS(Scommesse!$R$2:$R$151,Scommesse!$A$2:$A$151,$A62,Scommesse!$C$2:$C$151,$B62)</f>
        <v/>
      </c>
      <c r="H62">
        <f>IF(AND($C62&gt;0,$G62=$C62),1,0)</f>
        <v/>
      </c>
      <c r="I62">
        <f>IF($F62=1,2,IF($H62=1,-2,IF($D62=1,1,-1)))</f>
        <v/>
      </c>
    </row>
    <row r="63">
      <c r="A63" t="n">
        <v>7</v>
      </c>
      <c r="B63" t="inlineStr">
        <is>
          <t>D</t>
        </is>
      </c>
      <c r="C63">
        <f>COUNTIFS(Scommesse!$A$2:$A$151,$A63,Scommesse!$C$2:$C$151,$B63)</f>
        <v/>
      </c>
      <c r="D63">
        <f>IF(SUMIFS(Scommesse!$Q$2:$Q$151,Scommesse!$A$2:$A$151,$A63,Scommesse!$C$2:$C$151,$B63)&gt;0,1,0)</f>
        <v/>
      </c>
      <c r="E63">
        <f>IFERROR(INDEX(Classifiche!$V$4:$V$15,MATCH($B63,Classifiche!$U$4:$U$15,0)),FALSE)</f>
        <v/>
      </c>
      <c r="F63">
        <f>IF(AND($D63=1,$E63),1,0)</f>
        <v/>
      </c>
      <c r="G63">
        <f>SUMIFS(Scommesse!$R$2:$R$151,Scommesse!$A$2:$A$151,$A63,Scommesse!$C$2:$C$151,$B63)</f>
        <v/>
      </c>
      <c r="H63">
        <f>IF(AND($C63&gt;0,$G63=$C63),1,0)</f>
        <v/>
      </c>
      <c r="I63">
        <f>IF($F63=1,2,IF($H63=1,-2,IF($D63=1,1,-1)))</f>
        <v/>
      </c>
    </row>
    <row r="64">
      <c r="A64" t="n">
        <v>7</v>
      </c>
      <c r="B64" t="inlineStr">
        <is>
          <t>E</t>
        </is>
      </c>
      <c r="C64">
        <f>COUNTIFS(Scommesse!$A$2:$A$151,$A64,Scommesse!$C$2:$C$151,$B64)</f>
        <v/>
      </c>
      <c r="D64">
        <f>IF(SUMIFS(Scommesse!$Q$2:$Q$151,Scommesse!$A$2:$A$151,$A64,Scommesse!$C$2:$C$151,$B64)&gt;0,1,0)</f>
        <v/>
      </c>
      <c r="E64">
        <f>IFERROR(INDEX(Classifiche!$V$4:$V$15,MATCH($B64,Classifiche!$U$4:$U$15,0)),FALSE)</f>
        <v/>
      </c>
      <c r="F64">
        <f>IF(AND($D64=1,$E64),1,0)</f>
        <v/>
      </c>
      <c r="G64">
        <f>SUMIFS(Scommesse!$R$2:$R$151,Scommesse!$A$2:$A$151,$A64,Scommesse!$C$2:$C$151,$B64)</f>
        <v/>
      </c>
      <c r="H64">
        <f>IF(AND($C64&gt;0,$G64=$C64),1,0)</f>
        <v/>
      </c>
      <c r="I64">
        <f>IF($F64=1,2,IF($H64=1,-2,IF($D64=1,1,-1)))</f>
        <v/>
      </c>
    </row>
    <row r="65">
      <c r="A65" t="n">
        <v>7</v>
      </c>
      <c r="B65" t="inlineStr">
        <is>
          <t>F</t>
        </is>
      </c>
      <c r="C65">
        <f>COUNTIFS(Scommesse!$A$2:$A$151,$A65,Scommesse!$C$2:$C$151,$B65)</f>
        <v/>
      </c>
      <c r="D65">
        <f>IF(SUMIFS(Scommesse!$Q$2:$Q$151,Scommesse!$A$2:$A$151,$A65,Scommesse!$C$2:$C$151,$B65)&gt;0,1,0)</f>
        <v/>
      </c>
      <c r="E65">
        <f>IFERROR(INDEX(Classifiche!$V$4:$V$15,MATCH($B65,Classifiche!$U$4:$U$15,0)),FALSE)</f>
        <v/>
      </c>
      <c r="F65">
        <f>IF(AND($D65=1,$E65),1,0)</f>
        <v/>
      </c>
      <c r="G65">
        <f>SUMIFS(Scommesse!$R$2:$R$151,Scommesse!$A$2:$A$151,$A65,Scommesse!$C$2:$C$151,$B65)</f>
        <v/>
      </c>
      <c r="H65">
        <f>IF(AND($C65&gt;0,$G65=$C65),1,0)</f>
        <v/>
      </c>
      <c r="I65">
        <f>IF($F65=1,2,IF($H65=1,-2,IF($D65=1,1,-1)))</f>
        <v/>
      </c>
    </row>
    <row r="66">
      <c r="A66" t="n">
        <v>7</v>
      </c>
      <c r="B66" t="inlineStr">
        <is>
          <t>G</t>
        </is>
      </c>
      <c r="C66">
        <f>COUNTIFS(Scommesse!$A$2:$A$151,$A66,Scommesse!$C$2:$C$151,$B66)</f>
        <v/>
      </c>
      <c r="D66">
        <f>IF(SUMIFS(Scommesse!$Q$2:$Q$151,Scommesse!$A$2:$A$151,$A66,Scommesse!$C$2:$C$151,$B66)&gt;0,1,0)</f>
        <v/>
      </c>
      <c r="E66">
        <f>IFERROR(INDEX(Classifiche!$V$4:$V$15,MATCH($B66,Classifiche!$U$4:$U$15,0)),FALSE)</f>
        <v/>
      </c>
      <c r="F66">
        <f>IF(AND($D66=1,$E66),1,0)</f>
        <v/>
      </c>
      <c r="G66">
        <f>SUMIFS(Scommesse!$R$2:$R$151,Scommesse!$A$2:$A$151,$A66,Scommesse!$C$2:$C$151,$B66)</f>
        <v/>
      </c>
      <c r="H66">
        <f>IF(AND($C66&gt;0,$G66=$C66),1,0)</f>
        <v/>
      </c>
      <c r="I66">
        <f>IF($F66=1,2,IF($H66=1,-2,IF($D66=1,1,-1)))</f>
        <v/>
      </c>
    </row>
    <row r="67">
      <c r="A67" t="n">
        <v>7</v>
      </c>
      <c r="B67" t="inlineStr">
        <is>
          <t>H</t>
        </is>
      </c>
      <c r="C67">
        <f>COUNTIFS(Scommesse!$A$2:$A$151,$A67,Scommesse!$C$2:$C$151,$B67)</f>
        <v/>
      </c>
      <c r="D67">
        <f>IF(SUMIFS(Scommesse!$Q$2:$Q$151,Scommesse!$A$2:$A$151,$A67,Scommesse!$C$2:$C$151,$B67)&gt;0,1,0)</f>
        <v/>
      </c>
      <c r="E67">
        <f>IFERROR(INDEX(Classifiche!$V$4:$V$15,MATCH($B67,Classifiche!$U$4:$U$15,0)),FALSE)</f>
        <v/>
      </c>
      <c r="F67">
        <f>IF(AND($D67=1,$E67),1,0)</f>
        <v/>
      </c>
      <c r="G67">
        <f>SUMIFS(Scommesse!$R$2:$R$151,Scommesse!$A$2:$A$151,$A67,Scommesse!$C$2:$C$151,$B67)</f>
        <v/>
      </c>
      <c r="H67">
        <f>IF(AND($C67&gt;0,$G67=$C67),1,0)</f>
        <v/>
      </c>
      <c r="I67">
        <f>IF($F67=1,2,IF($H67=1,-2,IF($D67=1,1,-1)))</f>
        <v/>
      </c>
    </row>
    <row r="68">
      <c r="A68" t="n">
        <v>7</v>
      </c>
      <c r="B68" t="inlineStr">
        <is>
          <t>I</t>
        </is>
      </c>
      <c r="C68">
        <f>COUNTIFS(Scommesse!$A$2:$A$151,$A68,Scommesse!$C$2:$C$151,$B68)</f>
        <v/>
      </c>
      <c r="D68">
        <f>IF(SUMIFS(Scommesse!$Q$2:$Q$151,Scommesse!$A$2:$A$151,$A68,Scommesse!$C$2:$C$151,$B68)&gt;0,1,0)</f>
        <v/>
      </c>
      <c r="E68">
        <f>IFERROR(INDEX(Classifiche!$V$4:$V$15,MATCH($B68,Classifiche!$U$4:$U$15,0)),FALSE)</f>
        <v/>
      </c>
      <c r="F68">
        <f>IF(AND($D68=1,$E68),1,0)</f>
        <v/>
      </c>
      <c r="G68">
        <f>SUMIFS(Scommesse!$R$2:$R$151,Scommesse!$A$2:$A$151,$A68,Scommesse!$C$2:$C$151,$B68)</f>
        <v/>
      </c>
      <c r="H68">
        <f>IF(AND($C68&gt;0,$G68=$C68),1,0)</f>
        <v/>
      </c>
      <c r="I68">
        <f>IF($F68=1,2,IF($H68=1,-2,IF($D68=1,1,-1)))</f>
        <v/>
      </c>
    </row>
    <row r="69">
      <c r="A69" t="n">
        <v>7</v>
      </c>
      <c r="B69" t="inlineStr">
        <is>
          <t>J</t>
        </is>
      </c>
      <c r="C69">
        <f>COUNTIFS(Scommesse!$A$2:$A$151,$A69,Scommesse!$C$2:$C$151,$B69)</f>
        <v/>
      </c>
      <c r="D69">
        <f>IF(SUMIFS(Scommesse!$Q$2:$Q$151,Scommesse!$A$2:$A$151,$A69,Scommesse!$C$2:$C$151,$B69)&gt;0,1,0)</f>
        <v/>
      </c>
      <c r="E69">
        <f>IFERROR(INDEX(Classifiche!$V$4:$V$15,MATCH($B69,Classifiche!$U$4:$U$15,0)),FALSE)</f>
        <v/>
      </c>
      <c r="F69">
        <f>IF(AND($D69=1,$E69),1,0)</f>
        <v/>
      </c>
      <c r="G69">
        <f>SUMIFS(Scommesse!$R$2:$R$151,Scommesse!$A$2:$A$151,$A69,Scommesse!$C$2:$C$151,$B69)</f>
        <v/>
      </c>
      <c r="H69">
        <f>IF(AND($C69&gt;0,$G69=$C69),1,0)</f>
        <v/>
      </c>
      <c r="I69">
        <f>IF($F69=1,2,IF($H69=1,-2,IF($D69=1,1,-1)))</f>
        <v/>
      </c>
    </row>
    <row r="70">
      <c r="A70" t="n">
        <v>7</v>
      </c>
      <c r="B70" t="inlineStr">
        <is>
          <t>K</t>
        </is>
      </c>
      <c r="C70">
        <f>COUNTIFS(Scommesse!$A$2:$A$151,$A70,Scommesse!$C$2:$C$151,$B70)</f>
        <v/>
      </c>
      <c r="D70">
        <f>IF(SUMIFS(Scommesse!$Q$2:$Q$151,Scommesse!$A$2:$A$151,$A70,Scommesse!$C$2:$C$151,$B70)&gt;0,1,0)</f>
        <v/>
      </c>
      <c r="E70">
        <f>IFERROR(INDEX(Classifiche!$V$4:$V$15,MATCH($B70,Classifiche!$U$4:$U$15,0)),FALSE)</f>
        <v/>
      </c>
      <c r="F70">
        <f>IF(AND($D70=1,$E70),1,0)</f>
        <v/>
      </c>
      <c r="G70">
        <f>SUMIFS(Scommesse!$R$2:$R$151,Scommesse!$A$2:$A$151,$A70,Scommesse!$C$2:$C$151,$B70)</f>
        <v/>
      </c>
      <c r="H70">
        <f>IF(AND($C70&gt;0,$G70=$C70),1,0)</f>
        <v/>
      </c>
      <c r="I70">
        <f>IF($F70=1,2,IF($H70=1,-2,IF($D70=1,1,-1)))</f>
        <v/>
      </c>
    </row>
    <row r="71">
      <c r="A71" t="n">
        <v>7</v>
      </c>
      <c r="B71" t="inlineStr">
        <is>
          <t>L</t>
        </is>
      </c>
      <c r="C71">
        <f>COUNTIFS(Scommesse!$A$2:$A$151,$A71,Scommesse!$C$2:$C$151,$B71)</f>
        <v/>
      </c>
      <c r="D71">
        <f>IF(SUMIFS(Scommesse!$Q$2:$Q$151,Scommesse!$A$2:$A$151,$A71,Scommesse!$C$2:$C$151,$B71)&gt;0,1,0)</f>
        <v/>
      </c>
      <c r="E71">
        <f>IFERROR(INDEX(Classifiche!$V$4:$V$15,MATCH($B71,Classifiche!$U$4:$U$15,0)),FALSE)</f>
        <v/>
      </c>
      <c r="F71">
        <f>IF(AND($D71=1,$E71),1,0)</f>
        <v/>
      </c>
      <c r="G71">
        <f>SUMIFS(Scommesse!$R$2:$R$151,Scommesse!$A$2:$A$151,$A71,Scommesse!$C$2:$C$151,$B71)</f>
        <v/>
      </c>
      <c r="H71">
        <f>IF(AND($C71&gt;0,$G71=$C71),1,0)</f>
        <v/>
      </c>
      <c r="I71">
        <f>IF($F71=1,2,IF($H71=1,-2,IF($D71=1,1,-1)))</f>
        <v/>
      </c>
    </row>
    <row r="72">
      <c r="A72" t="n">
        <v>8</v>
      </c>
      <c r="B72" t="inlineStr">
        <is>
          <t>C</t>
        </is>
      </c>
      <c r="C72">
        <f>COUNTIFS(Scommesse!$A$2:$A$151,$A72,Scommesse!$C$2:$C$151,$B72)</f>
        <v/>
      </c>
      <c r="D72">
        <f>IF(SUMIFS(Scommesse!$Q$2:$Q$151,Scommesse!$A$2:$A$151,$A72,Scommesse!$C$2:$C$151,$B72)&gt;0,1,0)</f>
        <v/>
      </c>
      <c r="E72">
        <f>IFERROR(INDEX(Classifiche!$V$4:$V$15,MATCH($B72,Classifiche!$U$4:$U$15,0)),FALSE)</f>
        <v/>
      </c>
      <c r="F72">
        <f>IF(AND($D72=1,$E72),1,0)</f>
        <v/>
      </c>
      <c r="G72">
        <f>SUMIFS(Scommesse!$R$2:$R$151,Scommesse!$A$2:$A$151,$A72,Scommesse!$C$2:$C$151,$B72)</f>
        <v/>
      </c>
      <c r="H72">
        <f>IF(AND($C72&gt;0,$G72=$C72),1,0)</f>
        <v/>
      </c>
      <c r="I72">
        <f>IF($F72=1,2,IF($H72=1,-2,IF($D72=1,1,-1)))</f>
        <v/>
      </c>
    </row>
    <row r="73">
      <c r="A73" t="n">
        <v>8</v>
      </c>
      <c r="B73" t="inlineStr">
        <is>
          <t>D</t>
        </is>
      </c>
      <c r="C73">
        <f>COUNTIFS(Scommesse!$A$2:$A$151,$A73,Scommesse!$C$2:$C$151,$B73)</f>
        <v/>
      </c>
      <c r="D73">
        <f>IF(SUMIFS(Scommesse!$Q$2:$Q$151,Scommesse!$A$2:$A$151,$A73,Scommesse!$C$2:$C$151,$B73)&gt;0,1,0)</f>
        <v/>
      </c>
      <c r="E73">
        <f>IFERROR(INDEX(Classifiche!$V$4:$V$15,MATCH($B73,Classifiche!$U$4:$U$15,0)),FALSE)</f>
        <v/>
      </c>
      <c r="F73">
        <f>IF(AND($D73=1,$E73),1,0)</f>
        <v/>
      </c>
      <c r="G73">
        <f>SUMIFS(Scommesse!$R$2:$R$151,Scommesse!$A$2:$A$151,$A73,Scommesse!$C$2:$C$151,$B73)</f>
        <v/>
      </c>
      <c r="H73">
        <f>IF(AND($C73&gt;0,$G73=$C73),1,0)</f>
        <v/>
      </c>
      <c r="I73">
        <f>IF($F73=1,2,IF($H73=1,-2,IF($D73=1,1,-1)))</f>
        <v/>
      </c>
    </row>
    <row r="74">
      <c r="A74" t="n">
        <v>8</v>
      </c>
      <c r="B74" t="inlineStr">
        <is>
          <t>E</t>
        </is>
      </c>
      <c r="C74">
        <f>COUNTIFS(Scommesse!$A$2:$A$151,$A74,Scommesse!$C$2:$C$151,$B74)</f>
        <v/>
      </c>
      <c r="D74">
        <f>IF(SUMIFS(Scommesse!$Q$2:$Q$151,Scommesse!$A$2:$A$151,$A74,Scommesse!$C$2:$C$151,$B74)&gt;0,1,0)</f>
        <v/>
      </c>
      <c r="E74">
        <f>IFERROR(INDEX(Classifiche!$V$4:$V$15,MATCH($B74,Classifiche!$U$4:$U$15,0)),FALSE)</f>
        <v/>
      </c>
      <c r="F74">
        <f>IF(AND($D74=1,$E74),1,0)</f>
        <v/>
      </c>
      <c r="G74">
        <f>SUMIFS(Scommesse!$R$2:$R$151,Scommesse!$A$2:$A$151,$A74,Scommesse!$C$2:$C$151,$B74)</f>
        <v/>
      </c>
      <c r="H74">
        <f>IF(AND($C74&gt;0,$G74=$C74),1,0)</f>
        <v/>
      </c>
      <c r="I74">
        <f>IF($F74=1,2,IF($H74=1,-2,IF($D74=1,1,-1)))</f>
        <v/>
      </c>
    </row>
    <row r="75">
      <c r="A75" t="n">
        <v>8</v>
      </c>
      <c r="B75" t="inlineStr">
        <is>
          <t>F</t>
        </is>
      </c>
      <c r="C75">
        <f>COUNTIFS(Scommesse!$A$2:$A$151,$A75,Scommesse!$C$2:$C$151,$B75)</f>
        <v/>
      </c>
      <c r="D75">
        <f>IF(SUMIFS(Scommesse!$Q$2:$Q$151,Scommesse!$A$2:$A$151,$A75,Scommesse!$C$2:$C$151,$B75)&gt;0,1,0)</f>
        <v/>
      </c>
      <c r="E75">
        <f>IFERROR(INDEX(Classifiche!$V$4:$V$15,MATCH($B75,Classifiche!$U$4:$U$15,0)),FALSE)</f>
        <v/>
      </c>
      <c r="F75">
        <f>IF(AND($D75=1,$E75),1,0)</f>
        <v/>
      </c>
      <c r="G75">
        <f>SUMIFS(Scommesse!$R$2:$R$151,Scommesse!$A$2:$A$151,$A75,Scommesse!$C$2:$C$151,$B75)</f>
        <v/>
      </c>
      <c r="H75">
        <f>IF(AND($C75&gt;0,$G75=$C75),1,0)</f>
        <v/>
      </c>
      <c r="I75">
        <f>IF($F75=1,2,IF($H75=1,-2,IF($D75=1,1,-1)))</f>
        <v/>
      </c>
    </row>
    <row r="76">
      <c r="A76" t="n">
        <v>8</v>
      </c>
      <c r="B76" t="inlineStr">
        <is>
          <t>G</t>
        </is>
      </c>
      <c r="C76">
        <f>COUNTIFS(Scommesse!$A$2:$A$151,$A76,Scommesse!$C$2:$C$151,$B76)</f>
        <v/>
      </c>
      <c r="D76">
        <f>IF(SUMIFS(Scommesse!$Q$2:$Q$151,Scommesse!$A$2:$A$151,$A76,Scommesse!$C$2:$C$151,$B76)&gt;0,1,0)</f>
        <v/>
      </c>
      <c r="E76">
        <f>IFERROR(INDEX(Classifiche!$V$4:$V$15,MATCH($B76,Classifiche!$U$4:$U$15,0)),FALSE)</f>
        <v/>
      </c>
      <c r="F76">
        <f>IF(AND($D76=1,$E76),1,0)</f>
        <v/>
      </c>
      <c r="G76">
        <f>SUMIFS(Scommesse!$R$2:$R$151,Scommesse!$A$2:$A$151,$A76,Scommesse!$C$2:$C$151,$B76)</f>
        <v/>
      </c>
      <c r="H76">
        <f>IF(AND($C76&gt;0,$G76=$C76),1,0)</f>
        <v/>
      </c>
      <c r="I76">
        <f>IF($F76=1,2,IF($H76=1,-2,IF($D76=1,1,-1)))</f>
        <v/>
      </c>
    </row>
    <row r="77">
      <c r="A77" t="n">
        <v>8</v>
      </c>
      <c r="B77" t="inlineStr">
        <is>
          <t>H</t>
        </is>
      </c>
      <c r="C77">
        <f>COUNTIFS(Scommesse!$A$2:$A$151,$A77,Scommesse!$C$2:$C$151,$B77)</f>
        <v/>
      </c>
      <c r="D77">
        <f>IF(SUMIFS(Scommesse!$Q$2:$Q$151,Scommesse!$A$2:$A$151,$A77,Scommesse!$C$2:$C$151,$B77)&gt;0,1,0)</f>
        <v/>
      </c>
      <c r="E77">
        <f>IFERROR(INDEX(Classifiche!$V$4:$V$15,MATCH($B77,Classifiche!$U$4:$U$15,0)),FALSE)</f>
        <v/>
      </c>
      <c r="F77">
        <f>IF(AND($D77=1,$E77),1,0)</f>
        <v/>
      </c>
      <c r="G77">
        <f>SUMIFS(Scommesse!$R$2:$R$151,Scommesse!$A$2:$A$151,$A77,Scommesse!$C$2:$C$151,$B77)</f>
        <v/>
      </c>
      <c r="H77">
        <f>IF(AND($C77&gt;0,$G77=$C77),1,0)</f>
        <v/>
      </c>
      <c r="I77">
        <f>IF($F77=1,2,IF($H77=1,-2,IF($D77=1,1,-1)))</f>
        <v/>
      </c>
    </row>
    <row r="78">
      <c r="A78" t="n">
        <v>8</v>
      </c>
      <c r="B78" t="inlineStr">
        <is>
          <t>I</t>
        </is>
      </c>
      <c r="C78">
        <f>COUNTIFS(Scommesse!$A$2:$A$151,$A78,Scommesse!$C$2:$C$151,$B78)</f>
        <v/>
      </c>
      <c r="D78">
        <f>IF(SUMIFS(Scommesse!$Q$2:$Q$151,Scommesse!$A$2:$A$151,$A78,Scommesse!$C$2:$C$151,$B78)&gt;0,1,0)</f>
        <v/>
      </c>
      <c r="E78">
        <f>IFERROR(INDEX(Classifiche!$V$4:$V$15,MATCH($B78,Classifiche!$U$4:$U$15,0)),FALSE)</f>
        <v/>
      </c>
      <c r="F78">
        <f>IF(AND($D78=1,$E78),1,0)</f>
        <v/>
      </c>
      <c r="G78">
        <f>SUMIFS(Scommesse!$R$2:$R$151,Scommesse!$A$2:$A$151,$A78,Scommesse!$C$2:$C$151,$B78)</f>
        <v/>
      </c>
      <c r="H78">
        <f>IF(AND($C78&gt;0,$G78=$C78),1,0)</f>
        <v/>
      </c>
      <c r="I78">
        <f>IF($F78=1,2,IF($H78=1,-2,IF($D78=1,1,-1)))</f>
        <v/>
      </c>
    </row>
    <row r="79">
      <c r="A79" t="n">
        <v>8</v>
      </c>
      <c r="B79" t="inlineStr">
        <is>
          <t>J</t>
        </is>
      </c>
      <c r="C79">
        <f>COUNTIFS(Scommesse!$A$2:$A$151,$A79,Scommesse!$C$2:$C$151,$B79)</f>
        <v/>
      </c>
      <c r="D79">
        <f>IF(SUMIFS(Scommesse!$Q$2:$Q$151,Scommesse!$A$2:$A$151,$A79,Scommesse!$C$2:$C$151,$B79)&gt;0,1,0)</f>
        <v/>
      </c>
      <c r="E79">
        <f>IFERROR(INDEX(Classifiche!$V$4:$V$15,MATCH($B79,Classifiche!$U$4:$U$15,0)),FALSE)</f>
        <v/>
      </c>
      <c r="F79">
        <f>IF(AND($D79=1,$E79),1,0)</f>
        <v/>
      </c>
      <c r="G79">
        <f>SUMIFS(Scommesse!$R$2:$R$151,Scommesse!$A$2:$A$151,$A79,Scommesse!$C$2:$C$151,$B79)</f>
        <v/>
      </c>
      <c r="H79">
        <f>IF(AND($C79&gt;0,$G79=$C79),1,0)</f>
        <v/>
      </c>
      <c r="I79">
        <f>IF($F79=1,2,IF($H79=1,-2,IF($D79=1,1,-1)))</f>
        <v/>
      </c>
    </row>
    <row r="80">
      <c r="A80" t="n">
        <v>8</v>
      </c>
      <c r="B80" t="inlineStr">
        <is>
          <t>K</t>
        </is>
      </c>
      <c r="C80">
        <f>COUNTIFS(Scommesse!$A$2:$A$151,$A80,Scommesse!$C$2:$C$151,$B80)</f>
        <v/>
      </c>
      <c r="D80">
        <f>IF(SUMIFS(Scommesse!$Q$2:$Q$151,Scommesse!$A$2:$A$151,$A80,Scommesse!$C$2:$C$151,$B80)&gt;0,1,0)</f>
        <v/>
      </c>
      <c r="E80">
        <f>IFERROR(INDEX(Classifiche!$V$4:$V$15,MATCH($B80,Classifiche!$U$4:$U$15,0)),FALSE)</f>
        <v/>
      </c>
      <c r="F80">
        <f>IF(AND($D80=1,$E80),1,0)</f>
        <v/>
      </c>
      <c r="G80">
        <f>SUMIFS(Scommesse!$R$2:$R$151,Scommesse!$A$2:$A$151,$A80,Scommesse!$C$2:$C$151,$B80)</f>
        <v/>
      </c>
      <c r="H80">
        <f>IF(AND($C80&gt;0,$G80=$C80),1,0)</f>
        <v/>
      </c>
      <c r="I80">
        <f>IF($F80=1,2,IF($H80=1,-2,IF($D80=1,1,-1)))</f>
        <v/>
      </c>
    </row>
    <row r="81">
      <c r="A81" t="n">
        <v>8</v>
      </c>
      <c r="B81" t="inlineStr">
        <is>
          <t>L</t>
        </is>
      </c>
      <c r="C81">
        <f>COUNTIFS(Scommesse!$A$2:$A$151,$A81,Scommesse!$C$2:$C$151,$B81)</f>
        <v/>
      </c>
      <c r="D81">
        <f>IF(SUMIFS(Scommesse!$Q$2:$Q$151,Scommesse!$A$2:$A$151,$A81,Scommesse!$C$2:$C$151,$B81)&gt;0,1,0)</f>
        <v/>
      </c>
      <c r="E81">
        <f>IFERROR(INDEX(Classifiche!$V$4:$V$15,MATCH($B81,Classifiche!$U$4:$U$15,0)),FALSE)</f>
        <v/>
      </c>
      <c r="F81">
        <f>IF(AND($D81=1,$E81),1,0)</f>
        <v/>
      </c>
      <c r="G81">
        <f>SUMIFS(Scommesse!$R$2:$R$151,Scommesse!$A$2:$A$151,$A81,Scommesse!$C$2:$C$151,$B81)</f>
        <v/>
      </c>
      <c r="H81">
        <f>IF(AND($C81&gt;0,$G81=$C81),1,0)</f>
        <v/>
      </c>
      <c r="I81">
        <f>IF($F81=1,2,IF($H81=1,-2,IF($D81=1,1,-1)))</f>
        <v/>
      </c>
    </row>
    <row r="82">
      <c r="A82" t="n">
        <v>9</v>
      </c>
      <c r="B82" t="inlineStr">
        <is>
          <t>C</t>
        </is>
      </c>
      <c r="C82">
        <f>COUNTIFS(Scommesse!$A$2:$A$151,$A82,Scommesse!$C$2:$C$151,$B82)</f>
        <v/>
      </c>
      <c r="D82">
        <f>IF(SUMIFS(Scommesse!$Q$2:$Q$151,Scommesse!$A$2:$A$151,$A82,Scommesse!$C$2:$C$151,$B82)&gt;0,1,0)</f>
        <v/>
      </c>
      <c r="E82">
        <f>IFERROR(INDEX(Classifiche!$V$4:$V$15,MATCH($B82,Classifiche!$U$4:$U$15,0)),FALSE)</f>
        <v/>
      </c>
      <c r="F82">
        <f>IF(AND($D82=1,$E82),1,0)</f>
        <v/>
      </c>
      <c r="G82">
        <f>SUMIFS(Scommesse!$R$2:$R$151,Scommesse!$A$2:$A$151,$A82,Scommesse!$C$2:$C$151,$B82)</f>
        <v/>
      </c>
      <c r="H82">
        <f>IF(AND($C82&gt;0,$G82=$C82),1,0)</f>
        <v/>
      </c>
      <c r="I82">
        <f>IF($F82=1,2,IF($H82=1,-2,IF($D82=1,1,-1)))</f>
        <v/>
      </c>
    </row>
    <row r="83">
      <c r="A83" t="n">
        <v>9</v>
      </c>
      <c r="B83" t="inlineStr">
        <is>
          <t>D</t>
        </is>
      </c>
      <c r="C83">
        <f>COUNTIFS(Scommesse!$A$2:$A$151,$A83,Scommesse!$C$2:$C$151,$B83)</f>
        <v/>
      </c>
      <c r="D83">
        <f>IF(SUMIFS(Scommesse!$Q$2:$Q$151,Scommesse!$A$2:$A$151,$A83,Scommesse!$C$2:$C$151,$B83)&gt;0,1,0)</f>
        <v/>
      </c>
      <c r="E83">
        <f>IFERROR(INDEX(Classifiche!$V$4:$V$15,MATCH($B83,Classifiche!$U$4:$U$15,0)),FALSE)</f>
        <v/>
      </c>
      <c r="F83">
        <f>IF(AND($D83=1,$E83),1,0)</f>
        <v/>
      </c>
      <c r="G83">
        <f>SUMIFS(Scommesse!$R$2:$R$151,Scommesse!$A$2:$A$151,$A83,Scommesse!$C$2:$C$151,$B83)</f>
        <v/>
      </c>
      <c r="H83">
        <f>IF(AND($C83&gt;0,$G83=$C83),1,0)</f>
        <v/>
      </c>
      <c r="I83">
        <f>IF($F83=1,2,IF($H83=1,-2,IF($D83=1,1,-1)))</f>
        <v/>
      </c>
    </row>
    <row r="84">
      <c r="A84" t="n">
        <v>9</v>
      </c>
      <c r="B84" t="inlineStr">
        <is>
          <t>E</t>
        </is>
      </c>
      <c r="C84">
        <f>COUNTIFS(Scommesse!$A$2:$A$151,$A84,Scommesse!$C$2:$C$151,$B84)</f>
        <v/>
      </c>
      <c r="D84">
        <f>IF(SUMIFS(Scommesse!$Q$2:$Q$151,Scommesse!$A$2:$A$151,$A84,Scommesse!$C$2:$C$151,$B84)&gt;0,1,0)</f>
        <v/>
      </c>
      <c r="E84">
        <f>IFERROR(INDEX(Classifiche!$V$4:$V$15,MATCH($B84,Classifiche!$U$4:$U$15,0)),FALSE)</f>
        <v/>
      </c>
      <c r="F84">
        <f>IF(AND($D84=1,$E84),1,0)</f>
        <v/>
      </c>
      <c r="G84">
        <f>SUMIFS(Scommesse!$R$2:$R$151,Scommesse!$A$2:$A$151,$A84,Scommesse!$C$2:$C$151,$B84)</f>
        <v/>
      </c>
      <c r="H84">
        <f>IF(AND($C84&gt;0,$G84=$C84),1,0)</f>
        <v/>
      </c>
      <c r="I84">
        <f>IF($F84=1,2,IF($H84=1,-2,IF($D84=1,1,-1)))</f>
        <v/>
      </c>
    </row>
    <row r="85">
      <c r="A85" t="n">
        <v>9</v>
      </c>
      <c r="B85" t="inlineStr">
        <is>
          <t>F</t>
        </is>
      </c>
      <c r="C85">
        <f>COUNTIFS(Scommesse!$A$2:$A$151,$A85,Scommesse!$C$2:$C$151,$B85)</f>
        <v/>
      </c>
      <c r="D85">
        <f>IF(SUMIFS(Scommesse!$Q$2:$Q$151,Scommesse!$A$2:$A$151,$A85,Scommesse!$C$2:$C$151,$B85)&gt;0,1,0)</f>
        <v/>
      </c>
      <c r="E85">
        <f>IFERROR(INDEX(Classifiche!$V$4:$V$15,MATCH($B85,Classifiche!$U$4:$U$15,0)),FALSE)</f>
        <v/>
      </c>
      <c r="F85">
        <f>IF(AND($D85=1,$E85),1,0)</f>
        <v/>
      </c>
      <c r="G85">
        <f>SUMIFS(Scommesse!$R$2:$R$151,Scommesse!$A$2:$A$151,$A85,Scommesse!$C$2:$C$151,$B85)</f>
        <v/>
      </c>
      <c r="H85">
        <f>IF(AND($C85&gt;0,$G85=$C85),1,0)</f>
        <v/>
      </c>
      <c r="I85">
        <f>IF($F85=1,2,IF($H85=1,-2,IF($D85=1,1,-1)))</f>
        <v/>
      </c>
    </row>
    <row r="86">
      <c r="A86" t="n">
        <v>9</v>
      </c>
      <c r="B86" t="inlineStr">
        <is>
          <t>G</t>
        </is>
      </c>
      <c r="C86">
        <f>COUNTIFS(Scommesse!$A$2:$A$151,$A86,Scommesse!$C$2:$C$151,$B86)</f>
        <v/>
      </c>
      <c r="D86">
        <f>IF(SUMIFS(Scommesse!$Q$2:$Q$151,Scommesse!$A$2:$A$151,$A86,Scommesse!$C$2:$C$151,$B86)&gt;0,1,0)</f>
        <v/>
      </c>
      <c r="E86">
        <f>IFERROR(INDEX(Classifiche!$V$4:$V$15,MATCH($B86,Classifiche!$U$4:$U$15,0)),FALSE)</f>
        <v/>
      </c>
      <c r="F86">
        <f>IF(AND($D86=1,$E86),1,0)</f>
        <v/>
      </c>
      <c r="G86">
        <f>SUMIFS(Scommesse!$R$2:$R$151,Scommesse!$A$2:$A$151,$A86,Scommesse!$C$2:$C$151,$B86)</f>
        <v/>
      </c>
      <c r="H86">
        <f>IF(AND($C86&gt;0,$G86=$C86),1,0)</f>
        <v/>
      </c>
      <c r="I86">
        <f>IF($F86=1,2,IF($H86=1,-2,IF($D86=1,1,-1)))</f>
        <v/>
      </c>
    </row>
    <row r="87">
      <c r="A87" t="n">
        <v>9</v>
      </c>
      <c r="B87" t="inlineStr">
        <is>
          <t>H</t>
        </is>
      </c>
      <c r="C87">
        <f>COUNTIFS(Scommesse!$A$2:$A$151,$A87,Scommesse!$C$2:$C$151,$B87)</f>
        <v/>
      </c>
      <c r="D87">
        <f>IF(SUMIFS(Scommesse!$Q$2:$Q$151,Scommesse!$A$2:$A$151,$A87,Scommesse!$C$2:$C$151,$B87)&gt;0,1,0)</f>
        <v/>
      </c>
      <c r="E87">
        <f>IFERROR(INDEX(Classifiche!$V$4:$V$15,MATCH($B87,Classifiche!$U$4:$U$15,0)),FALSE)</f>
        <v/>
      </c>
      <c r="F87">
        <f>IF(AND($D87=1,$E87),1,0)</f>
        <v/>
      </c>
      <c r="G87">
        <f>SUMIFS(Scommesse!$R$2:$R$151,Scommesse!$A$2:$A$151,$A87,Scommesse!$C$2:$C$151,$B87)</f>
        <v/>
      </c>
      <c r="H87">
        <f>IF(AND($C87&gt;0,$G87=$C87),1,0)</f>
        <v/>
      </c>
      <c r="I87">
        <f>IF($F87=1,2,IF($H87=1,-2,IF($D87=1,1,-1)))</f>
        <v/>
      </c>
    </row>
    <row r="88">
      <c r="A88" t="n">
        <v>9</v>
      </c>
      <c r="B88" t="inlineStr">
        <is>
          <t>I</t>
        </is>
      </c>
      <c r="C88">
        <f>COUNTIFS(Scommesse!$A$2:$A$151,$A88,Scommesse!$C$2:$C$151,$B88)</f>
        <v/>
      </c>
      <c r="D88">
        <f>IF(SUMIFS(Scommesse!$Q$2:$Q$151,Scommesse!$A$2:$A$151,$A88,Scommesse!$C$2:$C$151,$B88)&gt;0,1,0)</f>
        <v/>
      </c>
      <c r="E88">
        <f>IFERROR(INDEX(Classifiche!$V$4:$V$15,MATCH($B88,Classifiche!$U$4:$U$15,0)),FALSE)</f>
        <v/>
      </c>
      <c r="F88">
        <f>IF(AND($D88=1,$E88),1,0)</f>
        <v/>
      </c>
      <c r="G88">
        <f>SUMIFS(Scommesse!$R$2:$R$151,Scommesse!$A$2:$A$151,$A88,Scommesse!$C$2:$C$151,$B88)</f>
        <v/>
      </c>
      <c r="H88">
        <f>IF(AND($C88&gt;0,$G88=$C88),1,0)</f>
        <v/>
      </c>
      <c r="I88">
        <f>IF($F88=1,2,IF($H88=1,-2,IF($D88=1,1,-1)))</f>
        <v/>
      </c>
    </row>
    <row r="89">
      <c r="A89" t="n">
        <v>9</v>
      </c>
      <c r="B89" t="inlineStr">
        <is>
          <t>J</t>
        </is>
      </c>
      <c r="C89">
        <f>COUNTIFS(Scommesse!$A$2:$A$151,$A89,Scommesse!$C$2:$C$151,$B89)</f>
        <v/>
      </c>
      <c r="D89">
        <f>IF(SUMIFS(Scommesse!$Q$2:$Q$151,Scommesse!$A$2:$A$151,$A89,Scommesse!$C$2:$C$151,$B89)&gt;0,1,0)</f>
        <v/>
      </c>
      <c r="E89">
        <f>IFERROR(INDEX(Classifiche!$V$4:$V$15,MATCH($B89,Classifiche!$U$4:$U$15,0)),FALSE)</f>
        <v/>
      </c>
      <c r="F89">
        <f>IF(AND($D89=1,$E89),1,0)</f>
        <v/>
      </c>
      <c r="G89">
        <f>SUMIFS(Scommesse!$R$2:$R$151,Scommesse!$A$2:$A$151,$A89,Scommesse!$C$2:$C$151,$B89)</f>
        <v/>
      </c>
      <c r="H89">
        <f>IF(AND($C89&gt;0,$G89=$C89),1,0)</f>
        <v/>
      </c>
      <c r="I89">
        <f>IF($F89=1,2,IF($H89=1,-2,IF($D89=1,1,-1)))</f>
        <v/>
      </c>
    </row>
    <row r="90">
      <c r="A90" t="n">
        <v>9</v>
      </c>
      <c r="B90" t="inlineStr">
        <is>
          <t>K</t>
        </is>
      </c>
      <c r="C90">
        <f>COUNTIFS(Scommesse!$A$2:$A$151,$A90,Scommesse!$C$2:$C$151,$B90)</f>
        <v/>
      </c>
      <c r="D90">
        <f>IF(SUMIFS(Scommesse!$Q$2:$Q$151,Scommesse!$A$2:$A$151,$A90,Scommesse!$C$2:$C$151,$B90)&gt;0,1,0)</f>
        <v/>
      </c>
      <c r="E90">
        <f>IFERROR(INDEX(Classifiche!$V$4:$V$15,MATCH($B90,Classifiche!$U$4:$U$15,0)),FALSE)</f>
        <v/>
      </c>
      <c r="F90">
        <f>IF(AND($D90=1,$E90),1,0)</f>
        <v/>
      </c>
      <c r="G90">
        <f>SUMIFS(Scommesse!$R$2:$R$151,Scommesse!$A$2:$A$151,$A90,Scommesse!$C$2:$C$151,$B90)</f>
        <v/>
      </c>
      <c r="H90">
        <f>IF(AND($C90&gt;0,$G90=$C90),1,0)</f>
        <v/>
      </c>
      <c r="I90">
        <f>IF($F90=1,2,IF($H90=1,-2,IF($D90=1,1,-1)))</f>
        <v/>
      </c>
    </row>
    <row r="91">
      <c r="A91" t="n">
        <v>9</v>
      </c>
      <c r="B91" t="inlineStr">
        <is>
          <t>L</t>
        </is>
      </c>
      <c r="C91">
        <f>COUNTIFS(Scommesse!$A$2:$A$151,$A91,Scommesse!$C$2:$C$151,$B91)</f>
        <v/>
      </c>
      <c r="D91">
        <f>IF(SUMIFS(Scommesse!$Q$2:$Q$151,Scommesse!$A$2:$A$151,$A91,Scommesse!$C$2:$C$151,$B91)&gt;0,1,0)</f>
        <v/>
      </c>
      <c r="E91">
        <f>IFERROR(INDEX(Classifiche!$V$4:$V$15,MATCH($B91,Classifiche!$U$4:$U$15,0)),FALSE)</f>
        <v/>
      </c>
      <c r="F91">
        <f>IF(AND($D91=1,$E91),1,0)</f>
        <v/>
      </c>
      <c r="G91">
        <f>SUMIFS(Scommesse!$R$2:$R$151,Scommesse!$A$2:$A$151,$A91,Scommesse!$C$2:$C$151,$B91)</f>
        <v/>
      </c>
      <c r="H91">
        <f>IF(AND($C91&gt;0,$G91=$C91),1,0)</f>
        <v/>
      </c>
      <c r="I91">
        <f>IF($F91=1,2,IF($H91=1,-2,IF($D91=1,1,-1)))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2" customWidth="1" min="4" max="4"/>
    <col width="12" customWidth="1" min="5" max="5"/>
    <col width="12" customWidth="1" min="6" max="6"/>
    <col width="10" customWidth="1" min="7" max="7"/>
    <col width="18" customWidth="1" min="8" max="8"/>
    <col width="10" customWidth="1" min="9" max="9"/>
    <col width="22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RIEPILOGO BOLLETTE - stato live</t>
        </is>
      </c>
      <c r="F1" s="2" t="inlineStr">
        <is>
          <t>Ultimo aggiornamento:</t>
        </is>
      </c>
      <c r="H1" s="30">
        <f>Config!$B$2</f>
        <v/>
      </c>
    </row>
    <row r="2">
      <c r="F2" s="2" t="inlineStr">
        <is>
          <t>Stato:</t>
        </is>
      </c>
      <c r="H2" s="31">
        <f>Config!$B$3</f>
        <v/>
      </c>
    </row>
    <row r="3">
      <c r="A3" s="28" t="inlineStr">
        <is>
          <t>Bolletta</t>
        </is>
      </c>
      <c r="B3" s="28" t="inlineStr">
        <is>
          <t>Punt./comb</t>
        </is>
      </c>
      <c r="C3" s="28" t="inlineStr">
        <is>
          <t>N. comb.</t>
        </is>
      </c>
      <c r="D3" s="28" t="inlineStr">
        <is>
          <t>Importo</t>
        </is>
      </c>
      <c r="E3" s="28" t="inlineStr">
        <is>
          <t>Vinc. min</t>
        </is>
      </c>
      <c r="F3" s="28" t="inlineStr">
        <is>
          <t>Vinc. max</t>
        </is>
      </c>
      <c r="G3" s="28" t="inlineStr">
        <is>
          <t>Gironi OK</t>
        </is>
      </c>
      <c r="H3" s="28" t="inlineStr">
        <is>
          <t>STATO</t>
        </is>
      </c>
      <c r="I3" s="28" t="inlineStr">
        <is>
          <t>Definitivo</t>
        </is>
      </c>
      <c r="J3" s="28" t="inlineStr">
        <is>
          <t>Vincita attuale stimata</t>
        </is>
      </c>
      <c r="K3" s="28" t="inlineStr">
        <is>
          <t>_tot</t>
        </is>
      </c>
      <c r="L3" s="28" t="inlineStr">
        <is>
          <t>_satNow</t>
        </is>
      </c>
      <c r="M3" s="28" t="inlineStr">
        <is>
          <t>_satClosed</t>
        </is>
      </c>
      <c r="N3" s="28" t="inlineStr">
        <is>
          <t>_unsat</t>
        </is>
      </c>
      <c r="O3" s="28" t="inlineStr">
        <is>
          <t>_code</t>
        </is>
      </c>
    </row>
    <row r="4">
      <c r="A4" s="25" t="inlineStr">
        <is>
          <t>Bolletta 1</t>
        </is>
      </c>
      <c r="B4" s="29" t="n">
        <v>0.1</v>
      </c>
      <c r="C4" s="26" t="n">
        <v>54</v>
      </c>
      <c r="D4" s="35" t="n">
        <v>5.4</v>
      </c>
      <c r="E4" s="35" t="n">
        <v>82.14</v>
      </c>
      <c r="F4" s="35" t="n">
        <v>5328.24</v>
      </c>
      <c r="G4" s="26">
        <f>$L4&amp;"/"&amp;$K4</f>
        <v/>
      </c>
      <c r="H4" s="25">
        <f>IF($M4=$K4,"VINCENTE (def.)",IF($N4&gt;0,"PERDENTE (def.)",IF($L4=$K4,"Vincente (provv.)","Perdente (provv.)")))</f>
        <v/>
      </c>
      <c r="I4" s="26">
        <f>IF(OR($M4=$K4,$N4&gt;0),"SI","NO")</f>
        <v/>
      </c>
      <c r="J4" s="35">
        <f>IFERROR(IF($L4=$K4,$B4*EXP(SUMPRODUCT((Scommesse!$A$2:$A$151=VALUE(MID($A4,10,3)))*(Scommesse!$Q$2:$Q$151)*LN(Scommesse!$F$2:$F$151))),"-"),"-")</f>
        <v/>
      </c>
      <c r="K4">
        <f>COUNTIFS(Calcoli!$A$2:$A$91,VALUE(MID($A4,10,3)))</f>
        <v/>
      </c>
      <c r="L4">
        <f>SUMIFS(Calcoli!$D$2:$D$91,Calcoli!$A$2:$A$91,VALUE(MID($A4,10,3)))</f>
        <v/>
      </c>
      <c r="M4">
        <f>SUMIFS(Calcoli!$F$2:$F$91,Calcoli!$A$2:$A$91,VALUE(MID($A4,10,3)))</f>
        <v/>
      </c>
      <c r="N4">
        <f>SUMIFS(Calcoli!$H$2:$H$91,Calcoli!$A$2:$A$91,VALUE(MID($A4,10,3)))</f>
        <v/>
      </c>
      <c r="O4">
        <f>IF($M4=$K4,2,IF($N4&gt;0,-2,IF($L4=$K4,1,-1)))</f>
        <v/>
      </c>
    </row>
    <row r="5">
      <c r="A5" s="25" t="inlineStr">
        <is>
          <t>Bolletta 2</t>
        </is>
      </c>
      <c r="B5" s="29" t="n">
        <v>0.1</v>
      </c>
      <c r="C5" s="26" t="n">
        <v>54</v>
      </c>
      <c r="D5" s="35" t="n">
        <v>5.4</v>
      </c>
      <c r="E5" s="35" t="n">
        <v>79.65000000000001</v>
      </c>
      <c r="F5" s="35" t="n">
        <v>5166.78</v>
      </c>
      <c r="G5" s="26">
        <f>$L5&amp;"/"&amp;$K5</f>
        <v/>
      </c>
      <c r="H5" s="25">
        <f>IF($M5=$K5,"VINCENTE (def.)",IF($N5&gt;0,"PERDENTE (def.)",IF($L5=$K5,"Vincente (provv.)","Perdente (provv.)")))</f>
        <v/>
      </c>
      <c r="I5" s="26">
        <f>IF(OR($M5=$K5,$N5&gt;0),"SI","NO")</f>
        <v/>
      </c>
      <c r="J5" s="35">
        <f>IFERROR(IF($L5=$K5,$B5*EXP(SUMPRODUCT((Scommesse!$A$2:$A$151=VALUE(MID($A5,10,3)))*(Scommesse!$Q$2:$Q$151)*LN(Scommesse!$F$2:$F$151))),"-"),"-")</f>
        <v/>
      </c>
      <c r="K5">
        <f>COUNTIFS(Calcoli!$A$2:$A$91,VALUE(MID($A5,10,3)))</f>
        <v/>
      </c>
      <c r="L5">
        <f>SUMIFS(Calcoli!$D$2:$D$91,Calcoli!$A$2:$A$91,VALUE(MID($A5,10,3)))</f>
        <v/>
      </c>
      <c r="M5">
        <f>SUMIFS(Calcoli!$F$2:$F$91,Calcoli!$A$2:$A$91,VALUE(MID($A5,10,3)))</f>
        <v/>
      </c>
      <c r="N5">
        <f>SUMIFS(Calcoli!$H$2:$H$91,Calcoli!$A$2:$A$91,VALUE(MID($A5,10,3)))</f>
        <v/>
      </c>
      <c r="O5">
        <f>IF($M5=$K5,2,IF($N5&gt;0,-2,IF($L5=$K5,1,-1)))</f>
        <v/>
      </c>
    </row>
    <row r="6">
      <c r="A6" s="25" t="inlineStr">
        <is>
          <t>Bolletta 3</t>
        </is>
      </c>
      <c r="B6" s="29" t="n">
        <v>0.15</v>
      </c>
      <c r="C6" s="26" t="n">
        <v>18</v>
      </c>
      <c r="D6" s="35" t="n">
        <v>2.7</v>
      </c>
      <c r="E6" s="35" t="n">
        <v>369.47</v>
      </c>
      <c r="F6" s="35" t="n">
        <v>5911.56</v>
      </c>
      <c r="G6" s="26">
        <f>$L6&amp;"/"&amp;$K6</f>
        <v/>
      </c>
      <c r="H6" s="25">
        <f>IF($M6=$K6,"VINCENTE (def.)",IF($N6&gt;0,"PERDENTE (def.)",IF($L6=$K6,"Vincente (provv.)","Perdente (provv.)")))</f>
        <v/>
      </c>
      <c r="I6" s="26">
        <f>IF(OR($M6=$K6,$N6&gt;0),"SI","NO")</f>
        <v/>
      </c>
      <c r="J6" s="35">
        <f>IFERROR(IF($L6=$K6,$B6*EXP(SUMPRODUCT((Scommesse!$A$2:$A$151=VALUE(MID($A6,10,3)))*(Scommesse!$Q$2:$Q$151)*LN(Scommesse!$F$2:$F$151))),"-"),"-")</f>
        <v/>
      </c>
      <c r="K6">
        <f>COUNTIFS(Calcoli!$A$2:$A$91,VALUE(MID($A6,10,3)))</f>
        <v/>
      </c>
      <c r="L6">
        <f>SUMIFS(Calcoli!$D$2:$D$91,Calcoli!$A$2:$A$91,VALUE(MID($A6,10,3)))</f>
        <v/>
      </c>
      <c r="M6">
        <f>SUMIFS(Calcoli!$F$2:$F$91,Calcoli!$A$2:$A$91,VALUE(MID($A6,10,3)))</f>
        <v/>
      </c>
      <c r="N6">
        <f>SUMIFS(Calcoli!$H$2:$H$91,Calcoli!$A$2:$A$91,VALUE(MID($A6,10,3)))</f>
        <v/>
      </c>
      <c r="O6">
        <f>IF($M6=$K6,2,IF($N6&gt;0,-2,IF($L6=$K6,1,-1)))</f>
        <v/>
      </c>
    </row>
    <row r="7">
      <c r="A7" s="25" t="inlineStr">
        <is>
          <t>Bolletta 4</t>
        </is>
      </c>
      <c r="B7" s="29" t="n">
        <v>0.2</v>
      </c>
      <c r="C7" s="26" t="n">
        <v>36</v>
      </c>
      <c r="D7" s="35" t="n">
        <v>7.2</v>
      </c>
      <c r="E7" s="35" t="n">
        <v>121.51</v>
      </c>
      <c r="F7" s="35" t="n">
        <v>2627.36</v>
      </c>
      <c r="G7" s="26">
        <f>$L7&amp;"/"&amp;$K7</f>
        <v/>
      </c>
      <c r="H7" s="25">
        <f>IF($M7=$K7,"VINCENTE (def.)",IF($N7&gt;0,"PERDENTE (def.)",IF($L7=$K7,"Vincente (provv.)","Perdente (provv.)")))</f>
        <v/>
      </c>
      <c r="I7" s="26">
        <f>IF(OR($M7=$K7,$N7&gt;0),"SI","NO")</f>
        <v/>
      </c>
      <c r="J7" s="35">
        <f>IFERROR(IF($L7=$K7,$B7*EXP(SUMPRODUCT((Scommesse!$A$2:$A$151=VALUE(MID($A7,10,3)))*(Scommesse!$Q$2:$Q$151)*LN(Scommesse!$F$2:$F$151))),"-"),"-")</f>
        <v/>
      </c>
      <c r="K7">
        <f>COUNTIFS(Calcoli!$A$2:$A$91,VALUE(MID($A7,10,3)))</f>
        <v/>
      </c>
      <c r="L7">
        <f>SUMIFS(Calcoli!$D$2:$D$91,Calcoli!$A$2:$A$91,VALUE(MID($A7,10,3)))</f>
        <v/>
      </c>
      <c r="M7">
        <f>SUMIFS(Calcoli!$F$2:$F$91,Calcoli!$A$2:$A$91,VALUE(MID($A7,10,3)))</f>
        <v/>
      </c>
      <c r="N7">
        <f>SUMIFS(Calcoli!$H$2:$H$91,Calcoli!$A$2:$A$91,VALUE(MID($A7,10,3)))</f>
        <v/>
      </c>
      <c r="O7">
        <f>IF($M7=$K7,2,IF($N7&gt;0,-2,IF($L7=$K7,1,-1)))</f>
        <v/>
      </c>
    </row>
    <row r="8">
      <c r="A8" s="25" t="inlineStr">
        <is>
          <t>Bolletta 5</t>
        </is>
      </c>
      <c r="B8" s="29" t="n">
        <v>0.3</v>
      </c>
      <c r="C8" s="26" t="n">
        <v>54</v>
      </c>
      <c r="D8" s="35" t="n">
        <v>16.2</v>
      </c>
      <c r="E8" s="35" t="n">
        <v>58.03</v>
      </c>
      <c r="F8" s="35" t="n">
        <v>3822.63</v>
      </c>
      <c r="G8" s="26">
        <f>$L8&amp;"/"&amp;$K8</f>
        <v/>
      </c>
      <c r="H8" s="25">
        <f>IF($M8=$K8,"VINCENTE (def.)",IF($N8&gt;0,"PERDENTE (def.)",IF($L8=$K8,"Vincente (provv.)","Perdente (provv.)")))</f>
        <v/>
      </c>
      <c r="I8" s="26">
        <f>IF(OR($M8=$K8,$N8&gt;0),"SI","NO")</f>
        <v/>
      </c>
      <c r="J8" s="35">
        <f>IFERROR(IF($L8=$K8,$B8*EXP(SUMPRODUCT((Scommesse!$A$2:$A$151=VALUE(MID($A8,10,3)))*(Scommesse!$Q$2:$Q$151)*LN(Scommesse!$F$2:$F$151))),"-"),"-")</f>
        <v/>
      </c>
      <c r="K8">
        <f>COUNTIFS(Calcoli!$A$2:$A$91,VALUE(MID($A8,10,3)))</f>
        <v/>
      </c>
      <c r="L8">
        <f>SUMIFS(Calcoli!$D$2:$D$91,Calcoli!$A$2:$A$91,VALUE(MID($A8,10,3)))</f>
        <v/>
      </c>
      <c r="M8">
        <f>SUMIFS(Calcoli!$F$2:$F$91,Calcoli!$A$2:$A$91,VALUE(MID($A8,10,3)))</f>
        <v/>
      </c>
      <c r="N8">
        <f>SUMIFS(Calcoli!$H$2:$H$91,Calcoli!$A$2:$A$91,VALUE(MID($A8,10,3)))</f>
        <v/>
      </c>
      <c r="O8">
        <f>IF($M8=$K8,2,IF($N8&gt;0,-2,IF($L8=$K8,1,-1)))</f>
        <v/>
      </c>
    </row>
    <row r="9">
      <c r="A9" s="25" t="inlineStr">
        <is>
          <t>Bolletta 6</t>
        </is>
      </c>
      <c r="B9" s="29" t="n">
        <v>0.2</v>
      </c>
      <c r="C9" s="26" t="n">
        <v>54</v>
      </c>
      <c r="D9" s="35" t="n">
        <v>10.8</v>
      </c>
      <c r="E9" s="35" t="n">
        <v>101.85</v>
      </c>
      <c r="F9" s="35" t="n">
        <v>6607.02</v>
      </c>
      <c r="G9" s="26">
        <f>$L9&amp;"/"&amp;$K9</f>
        <v/>
      </c>
      <c r="H9" s="25">
        <f>IF($M9=$K9,"VINCENTE (def.)",IF($N9&gt;0,"PERDENTE (def.)",IF($L9=$K9,"Vincente (provv.)","Perdente (provv.)")))</f>
        <v/>
      </c>
      <c r="I9" s="26">
        <f>IF(OR($M9=$K9,$N9&gt;0),"SI","NO")</f>
        <v/>
      </c>
      <c r="J9" s="35">
        <f>IFERROR(IF($L9=$K9,$B9*EXP(SUMPRODUCT((Scommesse!$A$2:$A$151=VALUE(MID($A9,10,3)))*(Scommesse!$Q$2:$Q$151)*LN(Scommesse!$F$2:$F$151))),"-"),"-")</f>
        <v/>
      </c>
      <c r="K9">
        <f>COUNTIFS(Calcoli!$A$2:$A$91,VALUE(MID($A9,10,3)))</f>
        <v/>
      </c>
      <c r="L9">
        <f>SUMIFS(Calcoli!$D$2:$D$91,Calcoli!$A$2:$A$91,VALUE(MID($A9,10,3)))</f>
        <v/>
      </c>
      <c r="M9">
        <f>SUMIFS(Calcoli!$F$2:$F$91,Calcoli!$A$2:$A$91,VALUE(MID($A9,10,3)))</f>
        <v/>
      </c>
      <c r="N9">
        <f>SUMIFS(Calcoli!$H$2:$H$91,Calcoli!$A$2:$A$91,VALUE(MID($A9,10,3)))</f>
        <v/>
      </c>
      <c r="O9">
        <f>IF($M9=$K9,2,IF($N9&gt;0,-2,IF($L9=$K9,1,-1)))</f>
        <v/>
      </c>
    </row>
    <row r="10">
      <c r="A10" s="25" t="inlineStr">
        <is>
          <t>Bolletta 7</t>
        </is>
      </c>
      <c r="B10" s="29" t="n">
        <v>0.2</v>
      </c>
      <c r="C10" s="26" t="n">
        <v>54</v>
      </c>
      <c r="D10" s="35" t="n">
        <v>10.8</v>
      </c>
      <c r="E10" s="35" t="n">
        <v>98.77</v>
      </c>
      <c r="F10" s="35" t="n">
        <v>6406.81</v>
      </c>
      <c r="G10" s="26">
        <f>$L10&amp;"/"&amp;$K10</f>
        <v/>
      </c>
      <c r="H10" s="25">
        <f>IF($M10=$K10,"VINCENTE (def.)",IF($N10&gt;0,"PERDENTE (def.)",IF($L10=$K10,"Vincente (provv.)","Perdente (provv.)")))</f>
        <v/>
      </c>
      <c r="I10" s="26">
        <f>IF(OR($M10=$K10,$N10&gt;0),"SI","NO")</f>
        <v/>
      </c>
      <c r="J10" s="35">
        <f>IFERROR(IF($L10=$K10,$B10*EXP(SUMPRODUCT((Scommesse!$A$2:$A$151=VALUE(MID($A10,10,3)))*(Scommesse!$Q$2:$Q$151)*LN(Scommesse!$F$2:$F$151))),"-"),"-")</f>
        <v/>
      </c>
      <c r="K10">
        <f>COUNTIFS(Calcoli!$A$2:$A$91,VALUE(MID($A10,10,3)))</f>
        <v/>
      </c>
      <c r="L10">
        <f>SUMIFS(Calcoli!$D$2:$D$91,Calcoli!$A$2:$A$91,VALUE(MID($A10,10,3)))</f>
        <v/>
      </c>
      <c r="M10">
        <f>SUMIFS(Calcoli!$F$2:$F$91,Calcoli!$A$2:$A$91,VALUE(MID($A10,10,3)))</f>
        <v/>
      </c>
      <c r="N10">
        <f>SUMIFS(Calcoli!$H$2:$H$91,Calcoli!$A$2:$A$91,VALUE(MID($A10,10,3)))</f>
        <v/>
      </c>
      <c r="O10">
        <f>IF($M10=$K10,2,IF($N10&gt;0,-2,IF($L10=$K10,1,-1)))</f>
        <v/>
      </c>
    </row>
    <row r="11">
      <c r="A11" s="25" t="inlineStr">
        <is>
          <t>Bolletta 8</t>
        </is>
      </c>
      <c r="B11" s="29" t="n">
        <v>0.05</v>
      </c>
      <c r="C11" s="26" t="n">
        <v>54</v>
      </c>
      <c r="D11" s="35" t="n">
        <v>2.7</v>
      </c>
      <c r="E11" s="35" t="n">
        <v>128.59</v>
      </c>
      <c r="F11" s="35" t="n">
        <v>8211.860000000001</v>
      </c>
      <c r="G11" s="26">
        <f>$L11&amp;"/"&amp;$K11</f>
        <v/>
      </c>
      <c r="H11" s="25">
        <f>IF($M11=$K11,"VINCENTE (def.)",IF($N11&gt;0,"PERDENTE (def.)",IF($L11=$K11,"Vincente (provv.)","Perdente (provv.)")))</f>
        <v/>
      </c>
      <c r="I11" s="26">
        <f>IF(OR($M11=$K11,$N11&gt;0),"SI","NO")</f>
        <v/>
      </c>
      <c r="J11" s="35">
        <f>IFERROR(IF($L11=$K11,$B11*EXP(SUMPRODUCT((Scommesse!$A$2:$A$151=VALUE(MID($A11,10,3)))*(Scommesse!$Q$2:$Q$151)*LN(Scommesse!$F$2:$F$151))),"-"),"-")</f>
        <v/>
      </c>
      <c r="K11">
        <f>COUNTIFS(Calcoli!$A$2:$A$91,VALUE(MID($A11,10,3)))</f>
        <v/>
      </c>
      <c r="L11">
        <f>SUMIFS(Calcoli!$D$2:$D$91,Calcoli!$A$2:$A$91,VALUE(MID($A11,10,3)))</f>
        <v/>
      </c>
      <c r="M11">
        <f>SUMIFS(Calcoli!$F$2:$F$91,Calcoli!$A$2:$A$91,VALUE(MID($A11,10,3)))</f>
        <v/>
      </c>
      <c r="N11">
        <f>SUMIFS(Calcoli!$H$2:$H$91,Calcoli!$A$2:$A$91,VALUE(MID($A11,10,3)))</f>
        <v/>
      </c>
      <c r="O11">
        <f>IF($M11=$K11,2,IF($N11&gt;0,-2,IF($L11=$K11,1,-1)))</f>
        <v/>
      </c>
    </row>
    <row r="12">
      <c r="A12" s="25" t="inlineStr">
        <is>
          <t>Bolletta 9</t>
        </is>
      </c>
      <c r="B12" s="29" t="n">
        <v>0.05</v>
      </c>
      <c r="C12" s="26" t="n">
        <v>54</v>
      </c>
      <c r="D12" s="35" t="n">
        <v>2.7</v>
      </c>
      <c r="E12" s="35" t="n">
        <v>108.48</v>
      </c>
      <c r="F12" s="35" t="n">
        <v>6906.99</v>
      </c>
      <c r="G12" s="26">
        <f>$L12&amp;"/"&amp;$K12</f>
        <v/>
      </c>
      <c r="H12" s="25">
        <f>IF($M12=$K12,"VINCENTE (def.)",IF($N12&gt;0,"PERDENTE (def.)",IF($L12=$K12,"Vincente (provv.)","Perdente (provv.)")))</f>
        <v/>
      </c>
      <c r="I12" s="26">
        <f>IF(OR($M12=$K12,$N12&gt;0),"SI","NO")</f>
        <v/>
      </c>
      <c r="J12" s="35">
        <f>IFERROR(IF($L12=$K12,$B12*EXP(SUMPRODUCT((Scommesse!$A$2:$A$151=VALUE(MID($A12,10,3)))*(Scommesse!$Q$2:$Q$151)*LN(Scommesse!$F$2:$F$151))),"-"),"-")</f>
        <v/>
      </c>
      <c r="K12">
        <f>COUNTIFS(Calcoli!$A$2:$A$91,VALUE(MID($A12,10,3)))</f>
        <v/>
      </c>
      <c r="L12">
        <f>SUMIFS(Calcoli!$D$2:$D$91,Calcoli!$A$2:$A$91,VALUE(MID($A12,10,3)))</f>
        <v/>
      </c>
      <c r="M12">
        <f>SUMIFS(Calcoli!$F$2:$F$91,Calcoli!$A$2:$A$91,VALUE(MID($A12,10,3)))</f>
        <v/>
      </c>
      <c r="N12">
        <f>SUMIFS(Calcoli!$H$2:$H$91,Calcoli!$A$2:$A$91,VALUE(MID($A12,10,3)))</f>
        <v/>
      </c>
      <c r="O12">
        <f>IF($M12=$K12,2,IF($N12&gt;0,-2,IF($L12=$K12,1,-1)))</f>
        <v/>
      </c>
    </row>
  </sheetData>
  <conditionalFormatting sqref="A4:J12">
    <cfRule type="expression" priority="1" dxfId="4" stopIfTrue="1">
      <formula>$O4=2</formula>
    </cfRule>
    <cfRule type="expression" priority="2" dxfId="0" stopIfTrue="1">
      <formula>$O4=1</formula>
    </cfRule>
    <cfRule type="expression" priority="3" dxfId="5" stopIfTrue="1">
      <formula>$O4=-2</formula>
    </cfRule>
    <cfRule type="expression" priority="4" dxfId="3" stopIfTrue="1">
      <formula>$O4=-1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2" t="inlineStr">
        <is>
          <t>Modalita' simulazione (SIM)</t>
        </is>
      </c>
      <c r="B1" s="36" t="inlineStr">
        <is>
          <t>OFF</t>
        </is>
      </c>
    </row>
    <row r="2">
      <c r="A2" s="2" t="inlineStr">
        <is>
          <t>Ultimo aggiornamento dati</t>
        </is>
      </c>
      <c r="B2" t="inlineStr">
        <is>
          <t>(in attesa dello script)</t>
        </is>
      </c>
    </row>
    <row r="3">
      <c r="A3" s="2" t="inlineStr">
        <is>
          <t>Stato aggiornamento</t>
        </is>
      </c>
      <c r="B3" t="inlineStr">
        <is>
          <t>(in attesa dello script)</t>
        </is>
      </c>
    </row>
    <row r="4">
      <c r="A4" s="2" t="inlineStr">
        <is>
          <t>Fonte dati</t>
        </is>
      </c>
      <c r="B4" t="inlineStr">
        <is>
          <t>football-data.org - World Cup</t>
        </is>
      </c>
    </row>
    <row r="6">
      <c r="A6" s="4" t="inlineStr"/>
    </row>
    <row r="7">
      <c r="A7" s="4" t="inlineStr">
        <is>
          <t>SIM = ON  -&gt; lo script NON sovrascrive: puoi simulare i risultati a mano nelle celle gialle del foglio Classifiche.</t>
        </is>
      </c>
    </row>
    <row r="8">
      <c r="A8" s="4" t="inlineStr">
        <is>
          <t>SIM = OFF -&gt; lo script aggiorna i risultati reali da football-data.org, ma SOLO durante le partite</t>
        </is>
      </c>
    </row>
    <row r="9">
      <c r="A9" s="4" t="inlineStr">
        <is>
          <t xml:space="preserve">            (finestra: inizio partita -&gt; +155 min). Fuori dalle partite resta fermo (vedi 'Stato aggiornamento').</t>
        </is>
      </c>
    </row>
    <row r="10">
      <c r="A10" s="4" t="inlineStr">
        <is>
          <t>Per attivare il live: vedi foglio Istruzioni (Estensioni &gt; Apps Script).</t>
        </is>
      </c>
    </row>
  </sheetData>
  <dataValidations count="1">
    <dataValidation sqref="B1" showDropDown="0" showInputMessage="0" showErrorMessage="0" allowBlank="0" type="list">
      <formula1>"OFF,ON"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SCOMMESSE MONDIALI 2026 - GUIDA</t>
        </is>
      </c>
    </row>
    <row r="2">
      <c r="A2" t="inlineStr"/>
    </row>
    <row r="3">
      <c r="A3" t="inlineStr">
        <is>
          <t>1) CARICA SU GOOGLE DRIVE: trascina questo file su drive.google.com, poi aprilo e 'Apri con Fogli Google'</t>
        </is>
      </c>
    </row>
    <row r="4">
      <c r="A4" t="inlineStr">
        <is>
          <t xml:space="preserve">   (oppure File &gt; Salva come Fogli Google). Le formule funzionano subito.</t>
        </is>
      </c>
    </row>
    <row r="5">
      <c r="A5" t="inlineStr"/>
    </row>
    <row r="6">
      <c r="A6" s="37" t="inlineStr">
        <is>
          <t>2) DATI LIVE (auto-aggiornamento) - fonte: football-data.org:</t>
        </is>
      </c>
    </row>
    <row r="7">
      <c r="A7" t="inlineStr">
        <is>
          <t xml:space="preserve">   a. Registrati gratis su football-data.org/client/register e ottieni un token via email.</t>
        </is>
      </c>
    </row>
    <row r="8">
      <c r="A8" t="inlineStr">
        <is>
          <t xml:space="preserve">   b. Menu  Estensioni &gt; Apps Script ; incolla il file Codice.gs e metti il token in API_TOKEN. Salva.</t>
        </is>
      </c>
    </row>
    <row r="9">
      <c r="A9" t="inlineStr">
        <is>
          <t xml:space="preserve">   c. Esegui una volta 'updateStandings' e autorizza i permessi richiesti.</t>
        </is>
      </c>
    </row>
    <row r="10">
      <c r="A10" t="inlineStr">
        <is>
          <t xml:space="preserve">   d. Riapri il foglio: menu '⚽ Scommesse' &gt; 'Installa aggiornamento automatico'.</t>
        </is>
      </c>
    </row>
    <row r="11">
      <c r="A11" t="inlineStr">
        <is>
          <t xml:space="preserve">   -&gt; I risultati si aggiornano da soli ogni 15 min MA SOLO durante le partite (vedi 'Stato' qui sopra).</t>
        </is>
      </c>
    </row>
    <row r="12">
      <c r="A12" t="inlineStr">
        <is>
          <t xml:space="preserve">      I collaboratori col link vedono i dati in tempo reale, senza consumare chiamate API.</t>
        </is>
      </c>
    </row>
    <row r="13">
      <c r="A13" t="inlineStr"/>
    </row>
    <row r="14">
      <c r="A14" t="inlineStr">
        <is>
          <t>3) CONDIVIDI: pulsante Condividi (in alto a destra) &gt; 'Chiunque abbia il link' &gt; Visualizzatore. Copia il link.</t>
        </is>
      </c>
    </row>
    <row r="15">
      <c r="A15" t="inlineStr"/>
    </row>
    <row r="16">
      <c r="A16" t="inlineStr">
        <is>
          <t>4) SIMULAZIONE: nel foglio Config metti  SIM = ON. Lo script smette di sovrascrivere; nel foglio Classifiche</t>
        </is>
      </c>
    </row>
    <row r="17">
      <c r="A17" t="inlineStr">
        <is>
          <t xml:space="preserve">   modifica V/N/P/GF/GS (celle gialle) e guarda Scommesse/Riepilogo cambiare in tempo reale (vinci/perdi).</t>
        </is>
      </c>
    </row>
    <row r="18">
      <c r="A18" t="inlineStr">
        <is>
          <t xml:space="preserve">   Per tornare ai dati reali: Config SIM = OFF (lo script riprende durante le partite).</t>
        </is>
      </c>
    </row>
    <row r="19">
      <c r="A19" t="inlineStr"/>
    </row>
    <row r="20">
      <c r="A20" t="inlineStr">
        <is>
          <t>LETTURA COLORI: verde=in vincita/vinta, rosso=in perdita/persa, 'def.'=esito non piu' modificabile.</t>
        </is>
      </c>
    </row>
    <row r="21">
      <c r="A21" t="inlineStr">
        <is>
          <t>Classifiche: ✅ DEVE passare = squadra in tutte le tue coppie del girone; ⛔ NON deve passare = mai giocata.</t>
        </is>
      </c>
    </row>
    <row r="22">
      <c r="A22" t="inlineStr">
        <is>
          <t>Una bolletta vince solo se TUTTI e 10 i gironi hanno la coppia corretta (primi 2 del girone).</t>
        </is>
      </c>
    </row>
    <row r="23">
      <c r="A23" t="inlineStr">
        <is>
          <t>Nota: quota Belgio/Nuova Zelanda della Bolletta 1 stimata a 2,50 (era illeggibile sullo scontrino).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2026-06-10T07:27:46Z</dcterms:created>
  <dcterms:modified xmlns:dcterms="http://purl.org/dc/terms/" xmlns:xsi="http://www.w3.org/2001/XMLSchema-instance" xsi:type="dcterms:W3CDTF">2026-06-10T07:27:46Z</dcterms:modified>
</cp:coreProperties>
</file>